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hidePivotFieldList="1"/>
  <bookViews>
    <workbookView xWindow="19090" yWindow="-10770" windowWidth="19420" windowHeight="11020" tabRatio="904" firstSheet="7" activeTab="17"/>
  </bookViews>
  <sheets>
    <sheet name="Данные " sheetId="21" r:id="rId1"/>
    <sheet name="Ссылки" sheetId="8" state="hidden" r:id="rId2"/>
    <sheet name="Курсы валют" sheetId="2" r:id="rId3"/>
    <sheet name="Смешаные ссылки" sheetId="9" state="hidden" r:id="rId4"/>
    <sheet name="Экспресс анализ" sheetId="3" state="hidden" r:id="rId5"/>
    <sheet name="Задание 1" sheetId="38" r:id="rId6"/>
    <sheet name="Задание 2" sheetId="4" r:id="rId7"/>
    <sheet name="Задание 3" sheetId="5" r:id="rId8"/>
    <sheet name="Задание 4" sheetId="6" r:id="rId9"/>
    <sheet name="Дата" sheetId="7" state="hidden" r:id="rId10"/>
    <sheet name="Задание 5" sheetId="19" r:id="rId11"/>
    <sheet name="Задание 6" sheetId="20" r:id="rId12"/>
    <sheet name="Задание 7" sheetId="12" r:id="rId13"/>
    <sheet name="Если 2" sheetId="17" state="hidden" r:id="rId14"/>
    <sheet name="Задание 8" sheetId="13" r:id="rId15"/>
    <sheet name="Задание 10" sheetId="22" r:id="rId16"/>
    <sheet name="Задание 11" sheetId="18" r:id="rId17"/>
    <sheet name="Задание 12" sheetId="39" r:id="rId18"/>
    <sheet name="Задание 13" sheetId="40" r:id="rId19"/>
    <sheet name="Задание 14" sheetId="41" r:id="rId20"/>
    <sheet name="Задание 15" sheetId="42" r:id="rId21"/>
    <sheet name="Анализ" sheetId="10" state="hidden" r:id="rId22"/>
    <sheet name="Инфокривые" sheetId="16" state="hidden" r:id="rId23"/>
    <sheet name="Смешанная диаграмма" sheetId="11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q1" localSheetId="0" hidden="1">{"программа",#N/A,TRUE,"lessons";"продажа оргтехники",#N/A,TRUE,"образец"}</definedName>
    <definedName name="___q1" localSheetId="15" hidden="1">{"программа",#N/A,TRUE,"lessons";"продажа оргтехники",#N/A,TRUE,"образец"}</definedName>
    <definedName name="___q1" hidden="1">{"программа",#N/A,TRUE,"lessons";"продажа оргтехники",#N/A,TRUE,"образец"}</definedName>
    <definedName name="__IntlFixup" hidden="1">TRUE</definedName>
    <definedName name="__q1" localSheetId="0" hidden="1">{"программа",#N/A,TRUE,"lessons";"продажа оргтехники",#N/A,TRUE,"образец"}</definedName>
    <definedName name="__q1" localSheetId="15" hidden="1">{"программа",#N/A,TRUE,"lessons";"продажа оргтехники",#N/A,TRUE,"образец"}</definedName>
    <definedName name="__q1" hidden="1">{"программа",#N/A,TRUE,"lessons";"продажа оргтехники",#N/A,TRUE,"образец"}</definedName>
    <definedName name="_q1" localSheetId="0" hidden="1">{"программа",#N/A,TRUE,"lessons";"продажа оргтехники",#N/A,TRUE,"образец"}</definedName>
    <definedName name="_q1" localSheetId="15" hidden="1">{"программа",#N/A,TRUE,"lessons";"продажа оргтехники",#N/A,TRUE,"образец"}</definedName>
    <definedName name="_q1" hidden="1">{"программа",#N/A,TRUE,"lessons";"продажа оргтехники",#N/A,TRUE,"образец"}</definedName>
    <definedName name="_xlcn.WorksheetConnection_ЗаданияExcel.xlsxТаблица11" hidden="1">Таблица1[]</definedName>
    <definedName name="_xlcn.WorksheetConnection_ЗаданияExcel.xlsxТаблица91" hidden="1">Таблица9[]</definedName>
    <definedName name="_xlnm._FilterDatabase" localSheetId="0" hidden="1">'Данные '!$A$1:$L$564</definedName>
    <definedName name="_xlnm._FilterDatabase" localSheetId="8" hidden="1">'Задание 4'!$E:$E</definedName>
    <definedName name="AccessDatabase" hidden="1">"C:\My Documents\MAUI MALL1.mdb"</definedName>
    <definedName name="ACwvu.CapersView." localSheetId="0" hidden="1">[1]MASTER!#REF!</definedName>
    <definedName name="ACwvu.CapersView." localSheetId="15" hidden="1">[2]MASTER!#REF!</definedName>
    <definedName name="ACwvu.CapersView." localSheetId="16" hidden="1">[1]MASTER!#REF!</definedName>
    <definedName name="ACwvu.CapersView." localSheetId="14" hidden="1">[3]MASTER!#REF!</definedName>
    <definedName name="ACwvu.CapersView." hidden="1">[4]MASTER!#REF!</definedName>
    <definedName name="ACwvu.Japan_Capers_Ed_Pub." localSheetId="0" hidden="1">'[5]THREE VARIABLES'!$N$1:$V$165</definedName>
    <definedName name="ACwvu.Japan_Capers_Ed_Pub." localSheetId="15" hidden="1">'[5]THREE VARIABLES'!$N$1:$V$165</definedName>
    <definedName name="ACwvu.Japan_Capers_Ed_Pub." localSheetId="14" hidden="1">'[6]THREE VARIABLES'!$N$1:$V$165</definedName>
    <definedName name="ACwvu.Japan_Capers_Ed_Pub." hidden="1">'[7]THREE VARIABLES'!$N$1:$V$165</definedName>
    <definedName name="ACwvu.KJP_CC." localSheetId="0" hidden="1">'[5]THREE VARIABLES'!$N$4:$U$165</definedName>
    <definedName name="ACwvu.KJP_CC." localSheetId="15" hidden="1">'[5]THREE VARIABLES'!$N$4:$U$165</definedName>
    <definedName name="ACwvu.KJP_CC." localSheetId="14" hidden="1">'[6]THREE VARIABLES'!$N$4:$U$165</definedName>
    <definedName name="ACwvu.KJP_CC." hidden="1">'[7]THREE VARIABLES'!$N$4:$U$165</definedName>
    <definedName name="Cwvu.CapersView." localSheetId="0" hidden="1">[1]MASTER!#REF!</definedName>
    <definedName name="Cwvu.CapersView." localSheetId="15" hidden="1">[2]MASTER!#REF!</definedName>
    <definedName name="Cwvu.CapersView." localSheetId="16" hidden="1">[1]MASTER!#REF!</definedName>
    <definedName name="Cwvu.CapersView." localSheetId="14" hidden="1">[3]MASTER!#REF!</definedName>
    <definedName name="Cwvu.CapersView." hidden="1">[4]MASTER!#REF!</definedName>
    <definedName name="Cwvu.Japan_Capers_Ed_Pub." localSheetId="0" hidden="1">[1]MASTER!#REF!</definedName>
    <definedName name="Cwvu.Japan_Capers_Ed_Pub." localSheetId="15" hidden="1">[2]MASTER!#REF!</definedName>
    <definedName name="Cwvu.Japan_Capers_Ed_Pub." localSheetId="16" hidden="1">[1]MASTER!#REF!</definedName>
    <definedName name="Cwvu.Japan_Capers_Ed_Pub." localSheetId="14" hidden="1">[3]MASTER!#REF!</definedName>
    <definedName name="Cwvu.Japan_Capers_Ed_Pub." hidden="1">[4]MASTER!#REF!</definedName>
    <definedName name="Cwvu.KJP_CC." localSheetId="0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15" hidden="1">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</definedName>
    <definedName name="Cwvu.KJP_CC." localSheetId="16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14" hidden="1">[3]MASTER!#REF!,[3]MASTER!#REF!,[3]MASTER!#REF!,[3]MASTER!#REF!,[3]MASTER!#REF!,[3]MASTER!#REF!,[3]MASTER!#REF!,[3]MASTER!#REF!,[3]MASTER!#REF!,[3]MASTER!#REF!,[3]MASTER!#REF!,[3]MASTER!#REF!,[3]MASTER!#REF!,[3]MASTER!#REF!,[3]MASTER!#REF!,[3]MASTER!#REF!,[3]MASTER!#REF!,[3]MASTER!#REF!,[3]MASTER!#REF!,[3]MASTER!#REF!</definedName>
    <definedName name="Cwvu.KJP_CC." hidden="1">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</definedName>
    <definedName name="de" hidden="1">{"программа",#N/A,TRUE,"lessons";"продажа оргтехники",#N/A,TRUE,"образец"}</definedName>
    <definedName name="fyuy" localSheetId="0" hidden="1">{"программа",#N/A,TRUE,"lessons";"продажа оргтехники",#N/A,TRUE,"образец"}</definedName>
    <definedName name="fyuy" localSheetId="15" hidden="1">{"программа",#N/A,TRUE,"lessons";"продажа оргтехники",#N/A,TRUE,"образец"}</definedName>
    <definedName name="fyuy" hidden="1">{"программа",#N/A,TRUE,"lessons";"продажа оргтехники",#N/A,TRUE,"образец"}</definedName>
    <definedName name="HTML_CodePage" hidden="1">1252</definedName>
    <definedName name="HTML_Control" localSheetId="0" hidden="1">{"'PRODUCTIONCOST SHEET'!$B$3:$G$48"}</definedName>
    <definedName name="HTML_Control" localSheetId="15" hidden="1">{"'PRODUCTIONCOST SHEET'!$B$3:$G$48"}</definedName>
    <definedName name="HTML_Control" localSheetId="16" hidden="1">{"'PRODUCTIONCOST SHEET'!$B$3:$G$48"}</definedName>
    <definedName name="HTML_Control" localSheetId="14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localSheetId="0" hidden="1">'[5]THREE VARIABLES'!$A$1:$M$65536</definedName>
    <definedName name="Rwvu.CapersView." localSheetId="15" hidden="1">'[5]THREE VARIABLES'!$A$1:$M$65536</definedName>
    <definedName name="Rwvu.CapersView." localSheetId="14" hidden="1">'[6]THREE VARIABLES'!$A$1:$M$65536</definedName>
    <definedName name="Rwvu.CapersView." hidden="1">'[7]THREE VARIABLES'!$A$1:$M$65536</definedName>
    <definedName name="Rwvu.Japan_Capers_Ed_Pub." localSheetId="0" hidden="1">'[5]THREE VARIABLES'!$A$1:$M$65536</definedName>
    <definedName name="Rwvu.Japan_Capers_Ed_Pub." localSheetId="15" hidden="1">'[5]THREE VARIABLES'!$A$1:$M$65536</definedName>
    <definedName name="Rwvu.Japan_Capers_Ed_Pub." localSheetId="14" hidden="1">'[6]THREE VARIABLES'!$A$1:$M$65536</definedName>
    <definedName name="Rwvu.Japan_Capers_Ed_Pub." hidden="1">'[7]THREE VARIABLES'!$A$1:$M$65536</definedName>
    <definedName name="Rwvu.KJP_CC." localSheetId="0" hidden="1">'[5]THREE VARIABLES'!$A$1:$M$65536</definedName>
    <definedName name="Rwvu.KJP_CC." localSheetId="15" hidden="1">'[5]THREE VARIABLES'!$A$1:$M$65536</definedName>
    <definedName name="Rwvu.KJP_CC." localSheetId="14" hidden="1">'[6]THREE VARIABLES'!$A$1:$M$65536</definedName>
    <definedName name="Rwvu.KJP_CC." hidden="1">'[7]THREE VARIABLES'!$A$1:$M$65536</definedName>
    <definedName name="Slicer_Internet_Order">#N/A</definedName>
    <definedName name="Slicer_State1">#N/A</definedName>
    <definedName name="Swvu.CapersView." localSheetId="0" hidden="1">[1]MASTER!#REF!</definedName>
    <definedName name="Swvu.CapersView." localSheetId="15" hidden="1">[2]MASTER!#REF!</definedName>
    <definedName name="Swvu.CapersView." localSheetId="16" hidden="1">[1]MASTER!#REF!</definedName>
    <definedName name="Swvu.CapersView." localSheetId="14" hidden="1">[3]MASTER!#REF!</definedName>
    <definedName name="Swvu.CapersView." hidden="1">[4]MASTER!#REF!</definedName>
    <definedName name="Swvu.Japan_Capers_Ed_Pub." localSheetId="0" hidden="1">'[5]THREE VARIABLES'!$N$1:$V$165</definedName>
    <definedName name="Swvu.Japan_Capers_Ed_Pub." localSheetId="15" hidden="1">'[5]THREE VARIABLES'!$N$1:$V$165</definedName>
    <definedName name="Swvu.Japan_Capers_Ed_Pub." localSheetId="14" hidden="1">'[6]THREE VARIABLES'!$N$1:$V$165</definedName>
    <definedName name="Swvu.Japan_Capers_Ed_Pub." hidden="1">'[7]THREE VARIABLES'!$N$1:$V$165</definedName>
    <definedName name="Swvu.KJP_CC." localSheetId="0" hidden="1">'[5]THREE VARIABLES'!$N$4:$U$165</definedName>
    <definedName name="Swvu.KJP_CC." localSheetId="15" hidden="1">'[5]THREE VARIABLES'!$N$4:$U$165</definedName>
    <definedName name="Swvu.KJP_CC." localSheetId="14" hidden="1">'[6]THREE VARIABLES'!$N$4:$U$165</definedName>
    <definedName name="Swvu.KJP_CC." hidden="1">'[7]THREE VARIABLES'!$N$4:$U$165</definedName>
    <definedName name="wrn.CapersPlotter." localSheetId="0" hidden="1">{#N/A,#N/A,FALSE,"DI 2 YEAR MASTER SCHEDULE"}</definedName>
    <definedName name="wrn.CapersPlotter." localSheetId="15" hidden="1">{#N/A,#N/A,FALSE,"DI 2 YEAR MASTER SCHEDULE"}</definedName>
    <definedName name="wrn.CapersPlotter." localSheetId="16" hidden="1">{#N/A,#N/A,FALSE,"DI 2 YEAR MASTER SCHEDULE"}</definedName>
    <definedName name="wrn.CapersPlotter." localSheetId="14" hidden="1">{#N/A,#N/A,FALSE,"DI 2 YEAR MASTER SCHEDULE"}</definedName>
    <definedName name="wrn.CapersPlotter." hidden="1">{#N/A,#N/A,FALSE,"DI 2 YEAR MASTER SCHEDULE"}</definedName>
    <definedName name="wrn.Edutainment._.Priority._.List." localSheetId="0" hidden="1">{#N/A,#N/A,FALSE,"DI 2 YEAR MASTER SCHEDULE"}</definedName>
    <definedName name="wrn.Edutainment._.Priority._.List." localSheetId="15" hidden="1">{#N/A,#N/A,FALSE,"DI 2 YEAR MASTER SCHEDULE"}</definedName>
    <definedName name="wrn.Edutainment._.Priority._.List." localSheetId="16" hidden="1">{#N/A,#N/A,FALSE,"DI 2 YEAR MASTER SCHEDULE"}</definedName>
    <definedName name="wrn.Edutainment._.Priority._.List." localSheetId="14" hidden="1">{#N/A,#N/A,FALSE,"DI 2 YEAR MASTER SCHEDULE"}</definedName>
    <definedName name="wrn.Edutainment._.Priority._.List." hidden="1">{#N/A,#N/A,FALSE,"DI 2 YEAR MASTER SCHEDULE"}</definedName>
    <definedName name="wrn.Japan_Capers_Ed._.Pub." localSheetId="0" hidden="1">{"Japan_Capers_Ed_Pub",#N/A,FALSE,"DI 2 YEAR MASTER SCHEDULE"}</definedName>
    <definedName name="wrn.Japan_Capers_Ed._.Pub." localSheetId="15" hidden="1">{"Japan_Capers_Ed_Pub",#N/A,FALSE,"DI 2 YEAR MASTER SCHEDULE"}</definedName>
    <definedName name="wrn.Japan_Capers_Ed._.Pub." localSheetId="16" hidden="1">{"Japan_Capers_Ed_Pub",#N/A,FALSE,"DI 2 YEAR MASTER SCHEDULE"}</definedName>
    <definedName name="wrn.Japan_Capers_Ed._.Pub." localSheetId="14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0" hidden="1">{#N/A,#N/A,FALSE,"DI 2 YEAR MASTER SCHEDULE"}</definedName>
    <definedName name="wrn.Priority._.list." localSheetId="15" hidden="1">{#N/A,#N/A,FALSE,"DI 2 YEAR MASTER SCHEDULE"}</definedName>
    <definedName name="wrn.Priority._.list." localSheetId="16" hidden="1">{#N/A,#N/A,FALSE,"DI 2 YEAR MASTER SCHEDULE"}</definedName>
    <definedName name="wrn.Priority._.list." localSheetId="14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localSheetId="15" hidden="1">{#N/A,#N/A,FALSE,"PRJCTED MNTHLY QTY's"}</definedName>
    <definedName name="wrn.Prjcted._.Mnthly._.Qtys." localSheetId="16" hidden="1">{#N/A,#N/A,FALSE,"PRJCTED MNTHLY QTY's"}</definedName>
    <definedName name="wrn.Prjcted._.Mnthly._.Qtys." localSheetId="14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localSheetId="15" hidden="1">{#N/A,#N/A,FALSE,"PRJCTED QTRLY $'s"}</definedName>
    <definedName name="wrn.Prjcted._.Qtrly._.Dollars." localSheetId="16" hidden="1">{#N/A,#N/A,FALSE,"PRJCTED QTRLY $'s"}</definedName>
    <definedName name="wrn.Prjcted._.Qtrly._.Dollars." localSheetId="14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localSheetId="15" hidden="1">{#N/A,#N/A,FALSE,"PRJCTED QTRLY QTY's"}</definedName>
    <definedName name="wrn.Prjcted._.Qtrly._.Qtys." localSheetId="16" hidden="1">{#N/A,#N/A,FALSE,"PRJCTED QTRLY QTY's"}</definedName>
    <definedName name="wrn.Prjcted._.Qtrly._.Qtys." localSheetId="14" hidden="1">{#N/A,#N/A,FALSE,"PRJCTED QTRLY QTY's"}</definedName>
    <definedName name="wrn.Prjcted._.Qtrly._.Qtys." hidden="1">{#N/A,#N/A,FALSE,"PRJCTED QTRLY QTY's"}</definedName>
    <definedName name="wrn.QUARTERLY._.VIEW." localSheetId="0" hidden="1">{"QUARTERLY VIEW",#N/A,FALSE,"YEAR TOTAL"}</definedName>
    <definedName name="wrn.QUARTERLY._.VIEW." localSheetId="15" hidden="1">{"QUARTERLY VIEW",#N/A,FALSE,"YEAR TOTAL"}</definedName>
    <definedName name="wrn.QUARTERLY._.VIEW." localSheetId="16" hidden="1">{"QUARTERLY VIEW",#N/A,FALSE,"YEAR TOTAL"}</definedName>
    <definedName name="wrn.QUARTERLY._.VIEW." localSheetId="14" hidden="1">{"QUARTERLY VIEW",#N/A,FALSE,"YEAR TOTAL"}</definedName>
    <definedName name="wrn.QUARTERLY._.VIEW." hidden="1">{"QUARTERLY VIEW",#N/A,FALSE,"YEAR TOTAL"}</definedName>
    <definedName name="wrn.YEAR._.VIEW." localSheetId="0" hidden="1">{#N/A,#N/A,FALSE,"YEAR TOTAL"}</definedName>
    <definedName name="wrn.YEAR._.VIEW." localSheetId="15" hidden="1">{#N/A,#N/A,FALSE,"YEAR TOTAL"}</definedName>
    <definedName name="wrn.YEAR._.VIEW." localSheetId="16" hidden="1">{#N/A,#N/A,FALSE,"YEAR TOTAL"}</definedName>
    <definedName name="wrn.YEAR._.VIEW." localSheetId="14" hidden="1">{#N/A,#N/A,FALSE,"YEAR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localSheetId="15" hidden="1">{"программа",#N/A,TRUE,"lessons";"продажа оргтехники",#N/A,TRUE,"образец"}</definedName>
    <definedName name="wrn.отчет._.по._.курсу." localSheetId="16" hidden="1">{"программа",#N/A,TRUE,"lessons";"продажа оргтехники",#N/A,TRUE,"образец"}</definedName>
    <definedName name="wrn.отчет._.по._.курсу." localSheetId="14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localSheetId="0" hidden="1">[1]MASTER!$A$1:$Q$65536,[1]MASTER!$Y$1:$Z$65536</definedName>
    <definedName name="Z_9A428CE1_B4D9_11D0_A8AA_0000C071AEE7_.wvu.Cols" localSheetId="15" hidden="1">[2]MASTER!$A$1:$Q$65536,[2]MASTER!$Y$1:$Z$65536</definedName>
    <definedName name="Z_9A428CE1_B4D9_11D0_A8AA_0000C071AEE7_.wvu.Cols" localSheetId="16" hidden="1">[1]MASTER!$A$1:$Q$65536,[1]MASTER!$Y$1:$Z$65536</definedName>
    <definedName name="Z_9A428CE1_B4D9_11D0_A8AA_0000C071AEE7_.wvu.Cols" localSheetId="14" hidden="1">[3]MASTER!$A$1:$Q$65536,[3]MASTER!$Y$1:$Z$65536</definedName>
    <definedName name="Z_9A428CE1_B4D9_11D0_A8AA_0000C071AEE7_.wvu.Cols" hidden="1">[4]MASTER!$A$1:$Q$65536,[4]MASTER!$Y$1:$Z$65536</definedName>
    <definedName name="Z_9A428CE1_B4D9_11D0_A8AA_0000C071AEE7_.wvu.PrintArea" localSheetId="0" hidden="1">'[5]THREE VARIABLES'!$N$4:$S$5</definedName>
    <definedName name="Z_9A428CE1_B4D9_11D0_A8AA_0000C071AEE7_.wvu.PrintArea" localSheetId="15" hidden="1">'[5]THREE VARIABLES'!$N$4:$S$5</definedName>
    <definedName name="Z_9A428CE1_B4D9_11D0_A8AA_0000C071AEE7_.wvu.PrintArea" localSheetId="14" hidden="1">'[6]THREE VARIABLES'!$N$4:$S$5</definedName>
    <definedName name="Z_9A428CE1_B4D9_11D0_A8AA_0000C071AEE7_.wvu.PrintArea" hidden="1">'[7]THREE VARIABLES'!$N$4:$S$5</definedName>
    <definedName name="Z_9A428CE1_B4D9_11D0_A8AA_0000C071AEE7_.wvu.Rows" localSheetId="0" hidden="1">[1]MASTER!#REF!,[1]MASTER!#REF!,[1]MASTER!#REF!,[1]MASTER!#REF!,[1]MASTER!#REF!,[1]MASTER!#REF!,[1]MASTER!#REF!,[1]MASTER!$A$98:$IV$272</definedName>
    <definedName name="Z_9A428CE1_B4D9_11D0_A8AA_0000C071AEE7_.wvu.Rows" localSheetId="15" hidden="1">[2]MASTER!#REF!,[2]MASTER!#REF!,[2]MASTER!#REF!,[2]MASTER!#REF!,[2]MASTER!#REF!,[2]MASTER!#REF!,[2]MASTER!#REF!,[2]MASTER!$A$98:$IV$272</definedName>
    <definedName name="Z_9A428CE1_B4D9_11D0_A8AA_0000C071AEE7_.wvu.Rows" localSheetId="16" hidden="1">[1]MASTER!#REF!,[1]MASTER!#REF!,[1]MASTER!#REF!,[1]MASTER!#REF!,[1]MASTER!#REF!,[1]MASTER!#REF!,[1]MASTER!#REF!,[1]MASTER!$A$98:$IV$272</definedName>
    <definedName name="Z_9A428CE1_B4D9_11D0_A8AA_0000C071AEE7_.wvu.Rows" localSheetId="14" hidden="1">[3]MASTER!#REF!,[3]MASTER!#REF!,[3]MASTER!#REF!,[3]MASTER!#REF!,[3]MASTER!#REF!,[3]MASTER!#REF!,[3]MASTER!#REF!,[3]MASTER!$A$98:$IV$272</definedName>
    <definedName name="Z_9A428CE1_B4D9_11D0_A8AA_0000C071AEE7_.wvu.Rows" hidden="1">[4]MASTER!#REF!,[4]MASTER!#REF!,[4]MASTER!#REF!,[4]MASTER!#REF!,[4]MASTER!#REF!,[4]MASTER!#REF!,[4]MASTER!#REF!,[4]MASTER!$A$98:$IV$272</definedName>
    <definedName name="а" localSheetId="0" hidden="1">'[6]THREE VARIABLES'!$N$1:$V$165</definedName>
    <definedName name="а" hidden="1">'[5]THREE VARIABLES'!$N$1:$V$165</definedName>
    <definedName name="а1" localSheetId="0" hidden="1">{#N/A,#N/A,FALSE,"PRJCTED QTRLY QTY's"}</definedName>
    <definedName name="а1" localSheetId="15" hidden="1">{#N/A,#N/A,FALSE,"PRJCTED QTRLY QTY's"}</definedName>
    <definedName name="а1" hidden="1">{#N/A,#N/A,FALSE,"PRJCTED QTRLY QTY's"}</definedName>
    <definedName name="аа" localSheetId="0" hidden="1">{#N/A,#N/A,FALSE,"PRJCTED QTRLY $'s"}</definedName>
    <definedName name="аа" localSheetId="15" hidden="1">{#N/A,#N/A,FALSE,"PRJCTED QTRLY $'s"}</definedName>
    <definedName name="аа" hidden="1">{#N/A,#N/A,FALSE,"PRJCTED QTRLY $'s"}</definedName>
    <definedName name="ааа" localSheetId="0" hidden="1">{#N/A,#N/A,FALSE,"PRJCTED MNTHLY QTY's"}</definedName>
    <definedName name="ааа" localSheetId="15" hidden="1">{#N/A,#N/A,FALSE,"PRJCTED MNTHLY QTY's"}</definedName>
    <definedName name="ааа" hidden="1">{#N/A,#N/A,FALSE,"PRJCTED MNTHLY QTY's"}</definedName>
    <definedName name="аолрлор" localSheetId="0" hidden="1">{#N/A,#N/A,FALSE,"DI 2 YEAR MASTER SCHEDULE"}</definedName>
    <definedName name="аолрлор" localSheetId="15" hidden="1">{#N/A,#N/A,FALSE,"DI 2 YEAR MASTER SCHEDULE"}</definedName>
    <definedName name="аолрлор" hidden="1">{#N/A,#N/A,FALSE,"DI 2 YEAR MASTER SCHEDULE"}</definedName>
    <definedName name="апапапа" localSheetId="0" hidden="1">{#N/A,#N/A,FALSE,"YEAR TOTAL"}</definedName>
    <definedName name="апапапа" localSheetId="15" hidden="1">{#N/A,#N/A,FALSE,"YEAR TOTAL"}</definedName>
    <definedName name="апапапа" hidden="1">{#N/A,#N/A,FALSE,"YEAR TOTAL"}</definedName>
    <definedName name="ар465465п" localSheetId="0" hidden="1">{#N/A,#N/A,FALSE,"PRJCTED MNTHLY QTY's"}</definedName>
    <definedName name="ар465465п" localSheetId="15" hidden="1">{#N/A,#N/A,FALSE,"PRJCTED MNTHLY QTY's"}</definedName>
    <definedName name="ар465465п" hidden="1">{#N/A,#N/A,FALSE,"PRJCTED MNTHLY QTY's"}</definedName>
    <definedName name="арва" localSheetId="0" hidden="1">{#N/A,#N/A,FALSE,"PRJCTED QTRLY $'s"}</definedName>
    <definedName name="арва" localSheetId="15" hidden="1">{#N/A,#N/A,FALSE,"PRJCTED QTRLY $'s"}</definedName>
    <definedName name="арва" hidden="1">{#N/A,#N/A,FALSE,"PRJCTED QTRLY $'s"}</definedName>
    <definedName name="_xlnm.Database" localSheetId="0" hidden="1">#REF!</definedName>
    <definedName name="_xlnm.Database" localSheetId="15" hidden="1">#REF!</definedName>
    <definedName name="_xlnm.Database" hidden="1">#REF!</definedName>
    <definedName name="вава" localSheetId="0" hidden="1">{"QUARTERLY VIEW",#N/A,FALSE,"YEAR TOTAL"}</definedName>
    <definedName name="вава" localSheetId="15" hidden="1">{"QUARTERLY VIEW",#N/A,FALSE,"YEAR TOTAL"}</definedName>
    <definedName name="вава" hidden="1">{"QUARTERLY VIEW",#N/A,FALSE,"YEAR TOTAL"}</definedName>
    <definedName name="вавава" localSheetId="0" hidden="1">{"программа",#N/A,TRUE,"lessons";"продажа оргтехники",#N/A,TRUE,"образец"}</definedName>
    <definedName name="вавава" localSheetId="15" hidden="1">{"программа",#N/A,TRUE,"lessons";"продажа оргтехники",#N/A,TRUE,"образец"}</definedName>
    <definedName name="вавава" hidden="1">{"программа",#N/A,TRUE,"lessons";"продажа оргтехники",#N/A,TRUE,"образец"}</definedName>
    <definedName name="вавпа" localSheetId="0" hidden="1">{"Japan_Capers_Ed_Pub",#N/A,FALSE,"DI 2 YEAR MASTER SCHEDULE"}</definedName>
    <definedName name="вавпа" localSheetId="15" hidden="1">{"Japan_Capers_Ed_Pub",#N/A,FALSE,"DI 2 YEAR MASTER SCHEDULE"}</definedName>
    <definedName name="вавпа" hidden="1">{"Japan_Capers_Ed_Pub",#N/A,FALSE,"DI 2 YEAR MASTER SCHEDULE"}</definedName>
    <definedName name="вв" localSheetId="0" hidden="1">{"программа",#N/A,TRUE,"lessons";"продажа оргтехники",#N/A,TRUE,"образец"}</definedName>
    <definedName name="вв" localSheetId="15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  <definedName name="ддд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ддд" localSheetId="1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ддд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дддд" localSheetId="0" hidden="1">{"программа",#N/A,TRUE,"lessons";"продажа оргтехники",#N/A,TRUE,"образец"}</definedName>
    <definedName name="дддд" localSheetId="15" hidden="1">{"программа",#N/A,TRUE,"lessons";"продажа оргтехники",#N/A,TRUE,"образец"}</definedName>
    <definedName name="дддд" hidden="1">{"программа",#N/A,TRUE,"lessons";"продажа оргтехники",#N/A,TRUE,"образец"}</definedName>
    <definedName name="День_Месяц_Год" localSheetId="0" hidden="1">{"программа",#N/A,TRUE,"lessons";"продажа оргтехники",#N/A,TRUE,"образец"}</definedName>
    <definedName name="День_Месяц_Год" localSheetId="15" hidden="1">{"программа",#N/A,TRUE,"lessons";"продажа оргтехники",#N/A,TRUE,"образец"}</definedName>
    <definedName name="День_Месяц_Год" hidden="1">{"программа",#N/A,TRUE,"lessons";"продажа оргтехники",#N/A,TRUE,"образец"}</definedName>
    <definedName name="Диапазон1">'[8]СЧЕТЕСЛИ и СУММЕСЛИ'!$A$1:$D$7</definedName>
    <definedName name="длдл" localSheetId="0" hidden="1">'[6]THREE VARIABLES'!$A$1:$M$65536</definedName>
    <definedName name="длдл" hidden="1">'[5]THREE VARIABLES'!$A$1:$M$65536</definedName>
    <definedName name="длорп" localSheetId="0" hidden="1">'[6]THREE VARIABLES'!$A$1:$M$65536</definedName>
    <definedName name="длорп" hidden="1">'[5]THREE VARIABLES'!$A$1:$M$65536</definedName>
    <definedName name="Доставка__евро" localSheetId="0">'[9]продажи 2'!$F$2:$F$15</definedName>
    <definedName name="Доставка__евро">'[10]продажи 2'!$F$2:$F$15</definedName>
    <definedName name="е" localSheetId="0" hidden="1">{"программа",#N/A,TRUE,"lessons";"продажа оргтехники",#N/A,TRUE,"образец"}</definedName>
    <definedName name="е" localSheetId="15" hidden="1">{"программа",#N/A,TRUE,"lessons";"продажа оргтехники",#N/A,TRUE,"образец"}</definedName>
    <definedName name="е" hidden="1">{"программа",#N/A,TRUE,"lessons";"продажа оргтехники",#N/A,TRUE,"образец"}</definedName>
    <definedName name="ек" localSheetId="0" hidden="1">{"программа",#N/A,TRUE,"lessons";"продажа оргтехники",#N/A,TRUE,"образец"}</definedName>
    <definedName name="ек" localSheetId="15" hidden="1">{"программа",#N/A,TRUE,"lessons";"продажа оргтехники",#N/A,TRUE,"образец"}</definedName>
    <definedName name="ек" hidden="1">{"программа",#N/A,TRUE,"lessons";"продажа оргтехники",#N/A,TRUE,"образец"}</definedName>
    <definedName name="з" localSheetId="0" hidden="1">{"программа",#N/A,TRUE,"lessons";"продажа оргтехники",#N/A,TRUE,"образец"}</definedName>
    <definedName name="з" localSheetId="15" hidden="1">{"программа",#N/A,TRUE,"lessons";"продажа оргтехники",#N/A,TRUE,"образец"}</definedName>
    <definedName name="з" localSheetId="16" hidden="1">{"программа",#N/A,TRUE,"lessons";"продажа оргтехники",#N/A,TRUE,"образец"}</definedName>
    <definedName name="з" localSheetId="14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З1" localSheetId="0" hidden="1">{"программа",#N/A,TRUE,"lessons";"продажа оргтехники",#N/A,TRUE,"образец"}</definedName>
    <definedName name="З1" localSheetId="15" hidden="1">{"программа",#N/A,TRUE,"lessons";"продажа оргтехники",#N/A,TRUE,"образец"}</definedName>
    <definedName name="З1" localSheetId="14" hidden="1">{"программа",#N/A,TRUE,"lessons";"продажа оргтехники",#N/A,TRUE,"образец"}</definedName>
    <definedName name="З1" hidden="1">{"программа",#N/A,TRUE,"lessons";"продажа оргтехники",#N/A,TRUE,"образец"}</definedName>
    <definedName name="ивс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ивс" localSheetId="1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ивс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_xlnm.Extract" localSheetId="8">'Задание 4'!$G$10</definedName>
    <definedName name="ке" localSheetId="0" hidden="1">{"программа",#N/A,TRUE,"lessons";"продажа оргтехники",#N/A,TRUE,"образец"}</definedName>
    <definedName name="ке" localSheetId="15" hidden="1">{"программа",#N/A,TRUE,"lessons";"продажа оргтехники",#N/A,TRUE,"образец"}</definedName>
    <definedName name="ке" localSheetId="16" hidden="1">{"программа",#N/A,TRUE,"lessons";"продажа оргтехники",#N/A,TRUE,"образец"}</definedName>
    <definedName name="ке" localSheetId="14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кк" hidden="1">{"программа",#N/A,TRUE,"lessons";"продажа оргтехники",#N/A,TRUE,"образец"}</definedName>
    <definedName name="Количество" localSheetId="0">'[9]продажи 2'!$D$2:$D$15</definedName>
    <definedName name="Количество">'[10]продажи 2'!$D$2:$D$15</definedName>
    <definedName name="Конфеты" localSheetId="0">[11]СУММ_МН!#REF!</definedName>
    <definedName name="Конфеты">#REF!</definedName>
    <definedName name="москва">#REF!</definedName>
    <definedName name="опаоп" localSheetId="0" hidden="1">{"QUARTERLY VIEW",#N/A,FALSE,"YEAR TOTAL"}</definedName>
    <definedName name="опаоп" localSheetId="15" hidden="1">{"QUARTERLY VIEW",#N/A,FALSE,"YEAR TOTAL"}</definedName>
    <definedName name="опаоп" hidden="1">{"QUARTERLY VIEW",#N/A,FALSE,"YEAR TOTAL"}</definedName>
    <definedName name="ОТЧЕТ" localSheetId="0" hidden="1">{"программа",#N/A,TRUE,"lessons";"продажа оргтехники",#N/A,TRUE,"образец"}</definedName>
    <definedName name="ОТЧЕТ" localSheetId="15" hidden="1">{"программа",#N/A,TRUE,"lessons";"продажа оргтехники",#N/A,TRUE,"образец"}</definedName>
    <definedName name="ОТЧЕТ" localSheetId="14" hidden="1">{"программа",#N/A,TRUE,"lessons";"продажа оргтехники",#N/A,TRUE,"образец"}</definedName>
    <definedName name="ОТЧЕТ" hidden="1">{"программа",#N/A,TRUE,"lessons";"продажа оргтехники",#N/A,TRUE,"образец"}</definedName>
    <definedName name="отчет_по_курсу" localSheetId="0" hidden="1">{"программа",#N/A,TRUE,"lessons";"продажа оргтехники",#N/A,TRUE,"образец"}</definedName>
    <definedName name="отчет_по_курсу" localSheetId="15" hidden="1">{"программа",#N/A,TRUE,"lessons";"продажа оргтехники",#N/A,TRUE,"образец"}</definedName>
    <definedName name="отчет_по_курсу" hidden="1">{"программа",#N/A,TRUE,"lessons";"продажа оргтехники",#N/A,TRUE,"образец"}</definedName>
    <definedName name="Оценки">'[12]упр.6-10'!$C$3:$F$12</definedName>
    <definedName name="парпол" localSheetId="0" hidden="1">{#N/A,#N/A,FALSE,"DI 2 YEAR MASTER SCHEDULE"}</definedName>
    <definedName name="парпол" localSheetId="15" hidden="1">{#N/A,#N/A,FALSE,"DI 2 YEAR MASTER SCHEDULE"}</definedName>
    <definedName name="парпол" hidden="1">{#N/A,#N/A,FALSE,"DI 2 YEAR MASTER SCHEDULE"}</definedName>
    <definedName name="Печенье" localSheetId="0">[11]СУММ_МН!#REF!</definedName>
    <definedName name="Печенье">#REF!</definedName>
    <definedName name="попао" localSheetId="0" hidden="1">{#N/A,#N/A,FALSE,"YEAR TOTAL"}</definedName>
    <definedName name="попао" localSheetId="15" hidden="1">{#N/A,#N/A,FALSE,"YEAR TOTAL"}</definedName>
    <definedName name="попао" hidden="1">{#N/A,#N/A,FALSE,"YEAR TOTAL"}</definedName>
    <definedName name="попо" localSheetId="0" hidden="1">{#N/A,#N/A,FALSE,"PRJCTED QTRLY QTY's"}</definedName>
    <definedName name="попо" localSheetId="15" hidden="1">{#N/A,#N/A,FALSE,"PRJCTED QTRLY QTY's"}</definedName>
    <definedName name="попо" hidden="1">{#N/A,#N/A,FALSE,"PRJCTED QTRLY QTY's"}</definedName>
    <definedName name="попро" localSheetId="0" hidden="1">{#N/A,#N/A,FALSE,"DI 2 YEAR MASTER SCHEDULE"}</definedName>
    <definedName name="попро" localSheetId="15" hidden="1">{#N/A,#N/A,FALSE,"DI 2 YEAR MASTER SCHEDULE"}</definedName>
    <definedName name="попро" hidden="1">{#N/A,#N/A,FALSE,"DI 2 YEAR MASTER SCHEDULE"}</definedName>
    <definedName name="ппр" hidden="1">{"программа",#N/A,TRUE,"lessons";"продажа оргтехники",#N/A,TRUE,"образец"}</definedName>
    <definedName name="прайс">[13]Продажи2!$B$14:$D$17</definedName>
    <definedName name="проо" hidden="1">{"программа",#N/A,TRUE,"lessons";"продажа оргтехники",#N/A,TRUE,"образец"}</definedName>
    <definedName name="рлр" localSheetId="0" hidden="1">{"Japan_Capers_Ed_Pub",#N/A,FALSE,"DI 2 YEAR MASTER SCHEDULE"}</definedName>
    <definedName name="рлр" localSheetId="15" hidden="1">{"Japan_Capers_Ed_Pub",#N/A,FALSE,"DI 2 YEAR MASTER SCHEDULE"}</definedName>
    <definedName name="рлр" hidden="1">{"Japan_Capers_Ed_Pub",#N/A,FALSE,"DI 2 YEAR MASTER SCHEDULE"}</definedName>
    <definedName name="ролп" localSheetId="0" hidden="1">[1]MASTER!#REF!</definedName>
    <definedName name="ролп" localSheetId="15" hidden="1">[1]MASTER!#REF!</definedName>
    <definedName name="ролп" hidden="1">[1]MASTER!#REF!</definedName>
    <definedName name="рпор" localSheetId="0" hidden="1">{"программа",#N/A,TRUE,"lessons";"продажа оргтехники",#N/A,TRUE,"образец"}</definedName>
    <definedName name="рпор" localSheetId="15" hidden="1">{"программа",#N/A,TRUE,"lessons";"продажа оргтехники",#N/A,TRUE,"образец"}</definedName>
    <definedName name="рпор" hidden="1">{"программа",#N/A,TRUE,"lessons";"продажа оргтехники",#N/A,TRUE,"образец"}</definedName>
    <definedName name="Скидка" localSheetId="0">'[9]продажи 2'!$E$2:$E$15</definedName>
    <definedName name="Скидка">'[10]продажи 2'!$E$2:$E$15</definedName>
    <definedName name="ссс" localSheetId="0" hidden="1">{"программа",#N/A,TRUE,"lessons";"продажа оргтехники",#N/A,TRUE,"образец"}</definedName>
    <definedName name="ссс" localSheetId="15" hidden="1">{"программа",#N/A,TRUE,"lessons";"продажа оргтехники",#N/A,TRUE,"образец"}</definedName>
    <definedName name="ссс" hidden="1">{"программа",#N/A,TRUE,"lessons";"продажа оргтехники",#N/A,TRUE,"образец"}</definedName>
    <definedName name="угол">'[8]COS, SIN, TAN'!$A$2:$A$40</definedName>
    <definedName name="ффф" localSheetId="0" hidden="1">{"программа",#N/A,TRUE,"lessons";"продажа оргтехники",#N/A,TRUE,"образец"}</definedName>
    <definedName name="ффф" localSheetId="15" hidden="1">{"программа",#N/A,TRUE,"lessons";"продажа оргтехники",#N/A,TRUE,"образец"}</definedName>
    <definedName name="ффф" hidden="1">{"программа",#N/A,TRUE,"lessons";"продажа оргтехники",#N/A,TRUE,"образец"}</definedName>
    <definedName name="х" localSheetId="0" hidden="1">{"программа",#N/A,TRUE,"lessons";"продажа оргтехники",#N/A,TRUE,"образец"}</definedName>
    <definedName name="х" localSheetId="15" hidden="1">{"программа",#N/A,TRUE,"lessons";"продажа оргтехники",#N/A,TRUE,"образец"}</definedName>
    <definedName name="х" localSheetId="16" hidden="1">{"программа",#N/A,TRUE,"lessons";"продажа оргтехники",#N/A,TRUE,"образец"}</definedName>
    <definedName name="х" localSheetId="14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ц" localSheetId="0" hidden="1">{"программа",#N/A,TRUE,"lessons";"продажа оргтехники",#N/A,TRUE,"образец"}</definedName>
    <definedName name="ц" localSheetId="15" hidden="1">{"программа",#N/A,TRUE,"lessons";"продажа оргтехники",#N/A,TRUE,"образец"}</definedName>
    <definedName name="ц" hidden="1">{"программа",#N/A,TRUE,"lessons";"продажа оргтехники",#N/A,TRUE,"образец"}</definedName>
    <definedName name="Цена__евро" localSheetId="0">'[9]продажи 2'!$C$2:$C$15</definedName>
    <definedName name="Цена__евро">'[10]продажи 2'!$C$2:$C$15</definedName>
    <definedName name="ЩЩ" localSheetId="0" hidden="1">{"программа",#N/A,TRUE,"lessons";"продажа оргтехники",#N/A,TRUE,"образец"}</definedName>
    <definedName name="ЩЩ" localSheetId="15" hidden="1">{"программа",#N/A,TRUE,"lessons";"продажа оргтехники",#N/A,TRUE,"образец"}</definedName>
    <definedName name="ЩЩ" localSheetId="14" hidden="1">{"программа",#N/A,TRUE,"lessons";"продажа оргтехники",#N/A,TRUE,"образец"}</definedName>
    <definedName name="ЩЩ" hidden="1">{"программа",#N/A,TRUE,"lessons";"продажа оргтехники",#N/A,TRUE,"образец"}</definedName>
    <definedName name="ы" localSheetId="0" hidden="1">[1]MASTER!#REF!</definedName>
    <definedName name="ы" localSheetId="15" hidden="1">[1]MASTER!#REF!</definedName>
    <definedName name="ы" hidden="1">[1]MASTER!#REF!</definedName>
    <definedName name="ыаы" localSheetId="0" hidden="1">{#N/A,#N/A,FALSE,"DI 2 YEAR MASTER SCHEDULE"}</definedName>
    <definedName name="ыаы" localSheetId="15" hidden="1">{#N/A,#N/A,FALSE,"DI 2 YEAR MASTER SCHEDULE"}</definedName>
    <definedName name="ыаы" hidden="1">{#N/A,#N/A,FALSE,"DI 2 YEAR MASTER SCHEDULE"}</definedName>
    <definedName name="ываыва" localSheetId="0" hidden="1">{#N/A,#N/A,FALSE,"DI 2 YEAR MASTER SCHEDULE"}</definedName>
    <definedName name="ываыва" localSheetId="15" hidden="1">{#N/A,#N/A,FALSE,"DI 2 YEAR MASTER SCHEDULE"}</definedName>
    <definedName name="ываыва" hidden="1">{#N/A,#N/A,FALSE,"DI 2 YEAR MASTER SCHEDULE"}</definedName>
  </definedNames>
  <calcPr calcId="1456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9-a897d3a0-c883-4646-a668-ad46679a3648" name="Таблица9" connection="WorksheetConnection_Задания Excel.xlsx!Таблица9"/>
          <x15:modelTable id="Таблица1-9547a68d-3a30-4f5e-98d1-9dc442f1f828" name="Таблица1" connection="WorksheetConnection_Задания Excel.xlsx!Таблица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22" l="1"/>
  <c r="J4" i="22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3" i="18"/>
  <c r="F16" i="20"/>
  <c r="F17" i="20"/>
  <c r="F18" i="20"/>
  <c r="F19" i="20"/>
  <c r="F20" i="20"/>
  <c r="F21" i="20"/>
  <c r="F22" i="20"/>
  <c r="F15" i="20"/>
  <c r="G16" i="20"/>
  <c r="G17" i="20"/>
  <c r="G18" i="20"/>
  <c r="G19" i="20"/>
  <c r="G20" i="20"/>
  <c r="G21" i="20"/>
  <c r="G22" i="20"/>
  <c r="G15" i="20"/>
  <c r="E15" i="20"/>
  <c r="E16" i="20"/>
  <c r="E17" i="20"/>
  <c r="E18" i="20"/>
  <c r="E19" i="20"/>
  <c r="E20" i="20"/>
  <c r="E21" i="20"/>
  <c r="E22" i="20"/>
  <c r="D5" i="13"/>
  <c r="D6" i="13"/>
  <c r="D7" i="13"/>
  <c r="D8" i="13"/>
  <c r="D9" i="13"/>
  <c r="D10" i="13"/>
  <c r="D11" i="13"/>
  <c r="D12" i="13"/>
  <c r="D13" i="13"/>
  <c r="D14" i="13"/>
  <c r="D4" i="13"/>
  <c r="E3" i="20"/>
  <c r="D5" i="12" l="1"/>
  <c r="D6" i="12"/>
  <c r="D7" i="12"/>
  <c r="D8" i="12"/>
  <c r="D9" i="12"/>
  <c r="D10" i="12"/>
  <c r="D11" i="12"/>
  <c r="D12" i="12"/>
  <c r="D13" i="12"/>
  <c r="D14" i="12"/>
  <c r="D15" i="12"/>
  <c r="D16" i="12"/>
  <c r="D17" i="12"/>
  <c r="D4" i="12"/>
  <c r="G3" i="5"/>
  <c r="B4" i="19" l="1"/>
  <c r="B5" i="19"/>
  <c r="B6" i="19"/>
  <c r="B7" i="19"/>
  <c r="B8" i="19"/>
  <c r="B9" i="19"/>
  <c r="B10" i="19"/>
  <c r="B3" i="19"/>
  <c r="H12" i="6"/>
  <c r="H13" i="6"/>
  <c r="H14" i="6"/>
  <c r="H15" i="6"/>
  <c r="H11" i="6"/>
  <c r="H4" i="6"/>
  <c r="H5" i="6"/>
  <c r="H6" i="6"/>
  <c r="H7" i="6"/>
  <c r="G19" i="5"/>
  <c r="G20" i="5"/>
  <c r="G21" i="5"/>
  <c r="G18" i="5"/>
  <c r="G10" i="5"/>
  <c r="G11" i="5"/>
  <c r="G12" i="5"/>
  <c r="G13" i="5"/>
  <c r="G4" i="5"/>
  <c r="G5" i="5"/>
  <c r="G6" i="5"/>
  <c r="C24" i="4"/>
  <c r="D24" i="4"/>
  <c r="B2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3" i="4"/>
  <c r="C8" i="12" l="1"/>
  <c r="C5" i="12" l="1"/>
  <c r="C6" i="12"/>
  <c r="C7" i="12"/>
  <c r="C9" i="12"/>
  <c r="C10" i="12"/>
  <c r="C11" i="12"/>
  <c r="C12" i="12"/>
  <c r="C13" i="12"/>
  <c r="C14" i="12"/>
  <c r="C15" i="12"/>
  <c r="C16" i="12"/>
  <c r="C17" i="12"/>
  <c r="C4" i="12"/>
  <c r="L565" i="21" l="1"/>
  <c r="G14" i="22" l="1"/>
  <c r="G13" i="22"/>
  <c r="G12" i="22"/>
  <c r="G11" i="22"/>
  <c r="G10" i="22"/>
  <c r="G9" i="22"/>
  <c r="G8" i="22"/>
  <c r="G7" i="22"/>
  <c r="G6" i="22"/>
  <c r="G5" i="22"/>
  <c r="G4" i="22"/>
  <c r="G3" i="22"/>
  <c r="F5" i="11" l="1"/>
  <c r="F4" i="11"/>
  <c r="F3" i="11"/>
  <c r="F2" i="11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</calcChain>
</file>

<file path=xl/comments1.xml><?xml version="1.0" encoding="utf-8"?>
<comments xmlns="http://schemas.openxmlformats.org/spreadsheetml/2006/main">
  <authors>
    <author>Сухарев Павел Александрович</author>
  </authors>
  <commentList>
    <comment ref="B2" authorId="0">
      <text>
        <r>
          <rPr>
            <sz val="9"/>
            <color indexed="81"/>
            <rFont val="Tahoma"/>
            <family val="2"/>
            <charset val="204"/>
          </rPr>
          <t>1. Добавить на лист XL объекты:
a) треугольник;
б) выпуклый четырехугольник (диагонали фигуры полностью находятся внутри нее).
2. Раскрасить фигуры а) и б) в различные цвета (выбор цвета может быть произвольный).
3. Произвольная комбинация одной пары фигур а) и б) представляет собой многоугольник с количеством углов n. Расположите возможные комбинации фигур в порядке увеличения количества углов у получившегося многоугольника (от min n до  max n)
4. Взаимное расположение фигур а) и б), их ориентация и размер в каждой паре могут быть произвольными. Многоугольников на листе XL должно появиться несколько. Но при этом каждый отдельный многоугольник состоит только из одного экземпляра фигуры а) и одного экземпляра фигуры б).</t>
        </r>
      </text>
    </comment>
  </commentList>
</comments>
</file>

<file path=xl/comments2.xml><?xml version="1.0" encoding="utf-8"?>
<comments xmlns="http://schemas.openxmlformats.org/spreadsheetml/2006/main">
  <authors>
    <author>Сухарев Павел Александрович</author>
  </authors>
  <commentList>
    <comment ref="B1" authorId="0">
      <text>
        <r>
          <rPr>
            <sz val="9"/>
            <color indexed="81"/>
            <rFont val="Tahoma"/>
            <family val="2"/>
            <charset val="204"/>
          </rPr>
          <t xml:space="preserve">1. Предложить </t>
        </r>
        <r>
          <rPr>
            <b/>
            <sz val="9"/>
            <color indexed="81"/>
            <rFont val="Tahoma"/>
            <family val="2"/>
            <charset val="204"/>
          </rPr>
          <t>программное решение</t>
        </r>
        <r>
          <rPr>
            <sz val="9"/>
            <color indexed="81"/>
            <rFont val="Tahoma"/>
            <family val="2"/>
            <charset val="204"/>
          </rPr>
          <t xml:space="preserve">, основанное на использовании стандартных средств MS Excel (формульные расчеты, VBA-скрипт, сценарий Power Query, базовые надстройки и т.п.) следующей задачи:
</t>
        </r>
        <r>
          <rPr>
            <b/>
            <sz val="9"/>
            <color indexed="81"/>
            <rFont val="Tahoma"/>
            <family val="2"/>
            <charset val="204"/>
          </rPr>
          <t>Расставить в матрице 3х3 натуральные числа от 1 до 9 (все разные, каждое число встречается только 1 раз) так, чтобы сумма чисел в любом квадрате 2х2 давала разный остаток от деления на 4.</t>
        </r>
        <r>
          <rPr>
            <sz val="9"/>
            <color indexed="81"/>
            <rFont val="Tahoma"/>
            <family val="2"/>
            <charset val="204"/>
          </rPr>
          <t xml:space="preserve">
2. Предпочтительным вариантом является аналитическое решение, но допускается использование численных методов.
3. Исходный массив {1, 2, 3, 4, 5, 6, 7, 8, 9} может быть определен любым удобным для исполнителя способом.
4. Обращаем внимание - расстановка чисел  в матрице методом "ручного подбора" требуемым решением задачи не является!</t>
        </r>
      </text>
    </comment>
    <comment ref="B9" authorId="0">
      <text>
        <r>
          <rPr>
            <sz val="9"/>
            <color indexed="81"/>
            <rFont val="Tahoma"/>
            <family val="2"/>
            <charset val="204"/>
          </rPr>
          <t xml:space="preserve">Предложить программное решение, которое для произвольного заполнения квадрата числами (одно число в ячейке, число - рациональное) ищет максимальное произведение 3-х чисел из квадрата.
Алгоритм поиска должен быть оптимальным с позиций вычислительной мощности. Меньше О(N^3)
</t>
        </r>
      </text>
    </comment>
  </commentList>
</comments>
</file>

<file path=xl/comments3.xml><?xml version="1.0" encoding="utf-8"?>
<comments xmlns="http://schemas.openxmlformats.org/spreadsheetml/2006/main">
  <authors>
    <author>Сухарев Павел Александрович</author>
  </authors>
  <commentList>
    <comment ref="B2" authorId="0">
      <text>
        <r>
          <rPr>
            <sz val="9"/>
            <color indexed="81"/>
            <rFont val="Tahoma"/>
            <family val="2"/>
            <charset val="204"/>
          </rPr>
          <t xml:space="preserve">Решить задачу:
- аналитическим способом;
- численными способом.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Модель данных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Задания Excel.xlsx!Таблица1" type="102" refreshedVersion="6" minRefreshableVersion="5">
    <extLst>
      <ext xmlns:x15="http://schemas.microsoft.com/office/spreadsheetml/2010/11/main" uri="{DE250136-89BD-433C-8126-D09CA5730AF9}">
        <x15:connection id="Таблица1-9547a68d-3a30-4f5e-98d1-9dc442f1f828" autoDelete="1">
          <x15:rangePr sourceName="_xlcn.WorksheetConnection_ЗаданияExcel.xlsxТаблица11"/>
        </x15:connection>
      </ext>
    </extLst>
  </connection>
  <connection id="3" name="WorksheetConnection_Задания Excel.xlsx!Таблица9" type="102" refreshedVersion="6" minRefreshableVersion="5">
    <extLst>
      <ext xmlns:x15="http://schemas.microsoft.com/office/spreadsheetml/2010/11/main" uri="{DE250136-89BD-433C-8126-D09CA5730AF9}">
        <x15:connection id="Таблица9-a897d3a0-c883-4646-a668-ad46679a3648">
          <x15:rangePr sourceName="_xlcn.WorksheetConnection_ЗаданияExcel.xlsxТаблица91"/>
        </x15:connection>
      </ext>
    </extLst>
  </connection>
</connections>
</file>

<file path=xl/sharedStrings.xml><?xml version="1.0" encoding="utf-8"?>
<sst xmlns="http://schemas.openxmlformats.org/spreadsheetml/2006/main" count="4839" uniqueCount="497">
  <si>
    <t>Торговая марка</t>
  </si>
  <si>
    <t>Цена, евро</t>
  </si>
  <si>
    <t>Adidas</t>
  </si>
  <si>
    <t>Puma</t>
  </si>
  <si>
    <t>Skechers</t>
  </si>
  <si>
    <t>Brooks</t>
  </si>
  <si>
    <t>Nike</t>
  </si>
  <si>
    <t>Reebok</t>
  </si>
  <si>
    <t>Asics</t>
  </si>
  <si>
    <t>Gala</t>
  </si>
  <si>
    <t>Kettler-Paso</t>
  </si>
  <si>
    <t>Tomeo-Forza</t>
  </si>
  <si>
    <t>Reebok-EK2</t>
  </si>
  <si>
    <t>Курс доллара</t>
  </si>
  <si>
    <t>Курс евро</t>
  </si>
  <si>
    <t>Расходы</t>
  </si>
  <si>
    <t>июль</t>
  </si>
  <si>
    <t>август</t>
  </si>
  <si>
    <t>сентябрь</t>
  </si>
  <si>
    <t>ИТОГО</t>
  </si>
  <si>
    <t>реклама</t>
  </si>
  <si>
    <t>аренда</t>
  </si>
  <si>
    <t>оплата</t>
  </si>
  <si>
    <t>налог</t>
  </si>
  <si>
    <t>ИТОГО:</t>
  </si>
  <si>
    <t>СРЗНАЧ</t>
  </si>
  <si>
    <t>Срзнач:</t>
  </si>
  <si>
    <t>МАКС</t>
  </si>
  <si>
    <t>наименование</t>
  </si>
  <si>
    <t>цена, руб.</t>
  </si>
  <si>
    <t>цена, евро</t>
  </si>
  <si>
    <t>цена, доллары</t>
  </si>
  <si>
    <t>Canon Digital ixus 900 Ti</t>
  </si>
  <si>
    <t>Canon Digital ixus 800 IS</t>
  </si>
  <si>
    <t>Canon PowerShot A640</t>
  </si>
  <si>
    <t>Kodak EasyShare Z650</t>
  </si>
  <si>
    <t>Kodak EasyShare C533</t>
  </si>
  <si>
    <t>FujiFilm FinePix F30</t>
  </si>
  <si>
    <t>FujiFilm FinePix A700</t>
  </si>
  <si>
    <t>Nikon D70S 18-70 KIT</t>
  </si>
  <si>
    <t>Nikon CoolPix S10</t>
  </si>
  <si>
    <t>OLYMPUS DIGITAL E-330 ZUIKO</t>
  </si>
  <si>
    <t>OLYMPUS mJU 750</t>
  </si>
  <si>
    <t>Panasonic Lumix Dmc-LZ5-S</t>
  </si>
  <si>
    <t>Pentax K110D</t>
  </si>
  <si>
    <t>Pentax Optio A20</t>
  </si>
  <si>
    <t>Samsung Digimax S1000</t>
  </si>
  <si>
    <t>Sony Cyber-shot DSC-N2</t>
  </si>
  <si>
    <t>Sony Cyber-shot DSC-W50</t>
  </si>
  <si>
    <t>Samsung Digimax L 70</t>
  </si>
  <si>
    <t>Panasonic Lumix Dmc-FZ7-S</t>
  </si>
  <si>
    <t>Casio EX-Z700 Exilm</t>
  </si>
  <si>
    <t>Casio EX-S600 Exilm</t>
  </si>
  <si>
    <t>Итого</t>
  </si>
  <si>
    <t>Регион</t>
  </si>
  <si>
    <t>Квартал</t>
  </si>
  <si>
    <t>Код дистрибьютора</t>
  </si>
  <si>
    <t>Продажи</t>
  </si>
  <si>
    <t>Юго-Западный</t>
  </si>
  <si>
    <t>Первый</t>
  </si>
  <si>
    <t>H</t>
  </si>
  <si>
    <t>Второй</t>
  </si>
  <si>
    <t>Южный</t>
  </si>
  <si>
    <t>Третий</t>
  </si>
  <si>
    <t>Западный</t>
  </si>
  <si>
    <t>Четвертый</t>
  </si>
  <si>
    <t>Восточный</t>
  </si>
  <si>
    <t>G</t>
  </si>
  <si>
    <t>F</t>
  </si>
  <si>
    <t>E</t>
  </si>
  <si>
    <t>D</t>
  </si>
  <si>
    <t>C</t>
  </si>
  <si>
    <t>B</t>
  </si>
  <si>
    <t>A</t>
  </si>
  <si>
    <t>ФИО</t>
  </si>
  <si>
    <t>Пол</t>
  </si>
  <si>
    <t>Должность</t>
  </si>
  <si>
    <t>Оклад</t>
  </si>
  <si>
    <t>БЕ</t>
  </si>
  <si>
    <t>ж</t>
  </si>
  <si>
    <t>Менеджер</t>
  </si>
  <si>
    <t>Кол-во</t>
  </si>
  <si>
    <t>м</t>
  </si>
  <si>
    <t>Эксперт</t>
  </si>
  <si>
    <t>Юрист</t>
  </si>
  <si>
    <t>Аудитор</t>
  </si>
  <si>
    <t>Текущая дата</t>
  </si>
  <si>
    <t>Текущее время</t>
  </si>
  <si>
    <t>Количество дней между</t>
  </si>
  <si>
    <t>Дата начала</t>
  </si>
  <si>
    <t>Дата окончания</t>
  </si>
  <si>
    <t>Разница</t>
  </si>
  <si>
    <t>Наименование</t>
  </si>
  <si>
    <t>Количество</t>
  </si>
  <si>
    <t>Доставка, евро</t>
  </si>
  <si>
    <t>Сумма, евро</t>
  </si>
  <si>
    <t>Сумма, руб.</t>
  </si>
  <si>
    <t>Сумма, доллары</t>
  </si>
  <si>
    <t>Кроссовки</t>
  </si>
  <si>
    <t>Майка</t>
  </si>
  <si>
    <t>Спортивный костюм</t>
  </si>
  <si>
    <t>Мяч волейбольный</t>
  </si>
  <si>
    <t>Велотренажер магнитный</t>
  </si>
  <si>
    <t>Атлетическая скамья</t>
  </si>
  <si>
    <t>Электрическая беговая дорожка</t>
  </si>
  <si>
    <t>Цена, р</t>
  </si>
  <si>
    <t>Лакомка</t>
  </si>
  <si>
    <t>Ромашка</t>
  </si>
  <si>
    <t>Ласточка</t>
  </si>
  <si>
    <t>Буревестник</t>
  </si>
  <si>
    <t>Трюфель</t>
  </si>
  <si>
    <t>Левушка</t>
  </si>
  <si>
    <t>Контракты, шт</t>
  </si>
  <si>
    <t>Продажа контрактов по регионам, шт</t>
  </si>
  <si>
    <t>Янв</t>
  </si>
  <si>
    <t>1 кв</t>
  </si>
  <si>
    <t>2 кв</t>
  </si>
  <si>
    <t>3 кв</t>
  </si>
  <si>
    <t>4 кв</t>
  </si>
  <si>
    <t>Фев</t>
  </si>
  <si>
    <t>Север</t>
  </si>
  <si>
    <t>Мар</t>
  </si>
  <si>
    <t>Восток</t>
  </si>
  <si>
    <t>Апр</t>
  </si>
  <si>
    <t>Центр</t>
  </si>
  <si>
    <t>Май</t>
  </si>
  <si>
    <t>Юг</t>
  </si>
  <si>
    <t>Июн</t>
  </si>
  <si>
    <t>Запад</t>
  </si>
  <si>
    <t>Июл</t>
  </si>
  <si>
    <t>Авг</t>
  </si>
  <si>
    <t>Сен</t>
  </si>
  <si>
    <t>Окт</t>
  </si>
  <si>
    <t>Ноя</t>
  </si>
  <si>
    <t>Дек</t>
  </si>
  <si>
    <t>Период</t>
  </si>
  <si>
    <t>Расход</t>
  </si>
  <si>
    <t>Доход</t>
  </si>
  <si>
    <t>Закупки</t>
  </si>
  <si>
    <t>Средний бал</t>
  </si>
  <si>
    <t>1 квартал</t>
  </si>
  <si>
    <t>2 квартал</t>
  </si>
  <si>
    <t>3 квартал</t>
  </si>
  <si>
    <t>4 квартал</t>
  </si>
  <si>
    <t>Марка</t>
  </si>
  <si>
    <t>Подажи (млн.шт.)</t>
  </si>
  <si>
    <t>Рентабельность (да/нет)</t>
  </si>
  <si>
    <t>DIRF-500</t>
  </si>
  <si>
    <t>DIRF-510A</t>
  </si>
  <si>
    <t>Sony V800</t>
  </si>
  <si>
    <t>Sony V900</t>
  </si>
  <si>
    <t>Sony V950</t>
  </si>
  <si>
    <t>Sony Extra (class M)</t>
  </si>
  <si>
    <t>YoYs G1</t>
  </si>
  <si>
    <t>YoYs G2</t>
  </si>
  <si>
    <t>SMSNG P1</t>
  </si>
  <si>
    <t>SMSNG P2</t>
  </si>
  <si>
    <t>SMSNG P3</t>
  </si>
  <si>
    <t>Gion Future</t>
  </si>
  <si>
    <t>Geo Park II</t>
  </si>
  <si>
    <t>Seo Mu 5</t>
  </si>
  <si>
    <t>Сумма</t>
  </si>
  <si>
    <t>Доля продаж (%)</t>
  </si>
  <si>
    <t>Покупатель</t>
  </si>
  <si>
    <t>Скидка</t>
  </si>
  <si>
    <t>Сумма с учетом скидки</t>
  </si>
  <si>
    <t>Цена за шт.</t>
  </si>
  <si>
    <t>АО "Книга"</t>
  </si>
  <si>
    <t>компьютер</t>
  </si>
  <si>
    <t>Фирма "Астра"</t>
  </si>
  <si>
    <t>принтер</t>
  </si>
  <si>
    <t>ООО "Консул"</t>
  </si>
  <si>
    <t>модем</t>
  </si>
  <si>
    <t>сканер</t>
  </si>
  <si>
    <t>ТД "Северный"</t>
  </si>
  <si>
    <t>АО "Трейд-Инвест"</t>
  </si>
  <si>
    <t>Фирма "Контур-М"</t>
  </si>
  <si>
    <t>Фирма "Консалтинг"</t>
  </si>
  <si>
    <t>Динамика курсов валют с 31.03.2008 по 31.03.2010</t>
  </si>
  <si>
    <t>Дата</t>
  </si>
  <si>
    <t>31.03.2008</t>
  </si>
  <si>
    <t>30.06.2008</t>
  </si>
  <si>
    <t>30.09.2008</t>
  </si>
  <si>
    <t>31.12.2008</t>
  </si>
  <si>
    <t>31.03.2009</t>
  </si>
  <si>
    <t>30.06.2009</t>
  </si>
  <si>
    <t>30.09.2009</t>
  </si>
  <si>
    <t>31.12.2009</t>
  </si>
  <si>
    <t>31.03.2010</t>
  </si>
  <si>
    <t>Лит</t>
  </si>
  <si>
    <t>Гривня</t>
  </si>
  <si>
    <t>Иена</t>
  </si>
  <si>
    <t>Евро</t>
  </si>
  <si>
    <t>Доллар</t>
  </si>
  <si>
    <t>Заказы клиентов на поставку товаров</t>
  </si>
  <si>
    <t>Клиенты</t>
  </si>
  <si>
    <t>Стоимость заказа, $</t>
  </si>
  <si>
    <t>Количество наименований в заказе</t>
  </si>
  <si>
    <t>Бонус</t>
  </si>
  <si>
    <t>Купон на скидку</t>
  </si>
  <si>
    <t>Скидка, $</t>
  </si>
  <si>
    <t>Ростикс</t>
  </si>
  <si>
    <t/>
  </si>
  <si>
    <t>+</t>
  </si>
  <si>
    <t>Му-Му</t>
  </si>
  <si>
    <t>Макдональдс</t>
  </si>
  <si>
    <t>да</t>
  </si>
  <si>
    <t>Шоколадница</t>
  </si>
  <si>
    <t>Патио-пицца</t>
  </si>
  <si>
    <t>Кофе-хауз</t>
  </si>
  <si>
    <t>Елки-палки</t>
  </si>
  <si>
    <t>Русское бистро</t>
  </si>
  <si>
    <t>№</t>
  </si>
  <si>
    <t>Ф.И.О.</t>
  </si>
  <si>
    <t>Отдел</t>
  </si>
  <si>
    <t>Оклад, руб</t>
  </si>
  <si>
    <t>Премия</t>
  </si>
  <si>
    <t>Ангелочкин Антон Алексеевич</t>
  </si>
  <si>
    <t>ОТД</t>
  </si>
  <si>
    <t>отдел</t>
  </si>
  <si>
    <t>Коэффициент</t>
  </si>
  <si>
    <t>Везунчиков Виктор Васильевич</t>
  </si>
  <si>
    <t>ОНК</t>
  </si>
  <si>
    <t>Веселый Василий Викторович</t>
  </si>
  <si>
    <t>Добрейший Даниил Дмитриевич</t>
  </si>
  <si>
    <t>РМО</t>
  </si>
  <si>
    <t>ТКБ</t>
  </si>
  <si>
    <t>Добрецов Денис Давидович</t>
  </si>
  <si>
    <t>ОКЧ</t>
  </si>
  <si>
    <t>Душечкин Дмитрий Данилович</t>
  </si>
  <si>
    <t>Замечательная Зинаида Захаровна</t>
  </si>
  <si>
    <t>Красавцев Константин Кириллович</t>
  </si>
  <si>
    <t>Мирный Максим Михайлович</t>
  </si>
  <si>
    <t>ОМА</t>
  </si>
  <si>
    <t>Неунывающий Никита Николаевич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</si>
  <si>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</si>
  <si>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</si>
  <si>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</si>
  <si>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</si>
  <si>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</si>
  <si>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</si>
  <si>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</si>
  <si>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</si>
  <si>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</si>
  <si>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</si>
  <si>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</si>
  <si>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</si>
  <si>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</si>
  <si>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Фамилия Имя Отчество</t>
  </si>
  <si>
    <t xml:space="preserve">  Колесник    Мария     Степановна</t>
  </si>
  <si>
    <t xml:space="preserve">Шарандак    Галина Константиновна   </t>
  </si>
  <si>
    <t xml:space="preserve"> Дидковская    Елена Владимировна   </t>
  </si>
  <si>
    <t>Давидчук    Ольга  Петровна</t>
  </si>
  <si>
    <t xml:space="preserve">  Черненькая   Ольга  Николаевна</t>
  </si>
  <si>
    <t xml:space="preserve"> Кацовец Татьяна   Михайловна   </t>
  </si>
  <si>
    <t>Искоростенская     Зоя Николаевна</t>
  </si>
  <si>
    <t>№ п/п</t>
  </si>
  <si>
    <t>Колесник Мария Степановна</t>
  </si>
  <si>
    <t>Шарандак Галина Константиновна</t>
  </si>
  <si>
    <t>Дидковская Елена Владимировна</t>
  </si>
  <si>
    <t>Давидчук Ольга Петровна</t>
  </si>
  <si>
    <t>Черненькая Ольга Николаевна</t>
  </si>
  <si>
    <t>Кацовец Татьяна Михайловна</t>
  </si>
  <si>
    <t>Искоростенская Зоя Николаевна</t>
  </si>
  <si>
    <t xml:space="preserve">     Самохина Надежда    Романовна</t>
  </si>
  <si>
    <t>Самохина Надежда Романовна</t>
  </si>
  <si>
    <t>Сектор</t>
  </si>
  <si>
    <t>Рынок сбыта</t>
  </si>
  <si>
    <t>Торговый представитель</t>
  </si>
  <si>
    <t>Товар</t>
  </si>
  <si>
    <t>Дата заказа</t>
  </si>
  <si>
    <t>День недели</t>
  </si>
  <si>
    <t>Заказчик</t>
  </si>
  <si>
    <t>Прибыль</t>
  </si>
  <si>
    <t>Цена</t>
  </si>
  <si>
    <t>Производство</t>
  </si>
  <si>
    <t>Средний Запад</t>
  </si>
  <si>
    <t>Детройт</t>
  </si>
  <si>
    <t>Генри</t>
  </si>
  <si>
    <t>Модуль</t>
  </si>
  <si>
    <t>Ср</t>
  </si>
  <si>
    <t>Ford</t>
  </si>
  <si>
    <t>Связь</t>
  </si>
  <si>
    <t>Северо-Восток</t>
  </si>
  <si>
    <t>Нью-Йорк</t>
  </si>
  <si>
    <t>Руди</t>
  </si>
  <si>
    <t>Устройство</t>
  </si>
  <si>
    <t>Чт</t>
  </si>
  <si>
    <t>Verizon</t>
  </si>
  <si>
    <t>Энергетика</t>
  </si>
  <si>
    <t>Хьюстон</t>
  </si>
  <si>
    <t>Ред</t>
  </si>
  <si>
    <t>Сб</t>
  </si>
  <si>
    <t>Valero Energy</t>
  </si>
  <si>
    <t>Здравоохранение</t>
  </si>
  <si>
    <t>Луисвилл</t>
  </si>
  <si>
    <t>Крис</t>
  </si>
  <si>
    <t>Cardinal Health</t>
  </si>
  <si>
    <t>Финансы</t>
  </si>
  <si>
    <t>Северная Калифорния</t>
  </si>
  <si>
    <t>Карл</t>
  </si>
  <si>
    <t>Вт</t>
  </si>
  <si>
    <t>Wells Fargo</t>
  </si>
  <si>
    <t>Деталь</t>
  </si>
  <si>
    <t>General Motors</t>
  </si>
  <si>
    <t>Розница</t>
  </si>
  <si>
    <t>Новый Орлеан</t>
  </si>
  <si>
    <t>Сэм</t>
  </si>
  <si>
    <t>Пт</t>
  </si>
  <si>
    <t>Wal-Mart</t>
  </si>
  <si>
    <t>Вс</t>
  </si>
  <si>
    <t>IBM</t>
  </si>
  <si>
    <t>Атланта</t>
  </si>
  <si>
    <t>Скарлетт</t>
  </si>
  <si>
    <t>AT&amp;T</t>
  </si>
  <si>
    <t>CitiGroup</t>
  </si>
  <si>
    <t>Препарат</t>
  </si>
  <si>
    <t>Pfizer</t>
  </si>
  <si>
    <t>Пн</t>
  </si>
  <si>
    <t>General Electric</t>
  </si>
  <si>
    <t>Чикаго</t>
  </si>
  <si>
    <t>Майк</t>
  </si>
  <si>
    <t>Boeing</t>
  </si>
  <si>
    <t>Exxon Mobil</t>
  </si>
  <si>
    <t>Chevron</t>
  </si>
  <si>
    <t>Ширпотреб</t>
  </si>
  <si>
    <t>Цинциннати</t>
  </si>
  <si>
    <t>Роуз</t>
  </si>
  <si>
    <t>Proctor &amp; Gamble</t>
  </si>
  <si>
    <t>Шарлотта</t>
  </si>
  <si>
    <t>Лотти</t>
  </si>
  <si>
    <t>Bank of America</t>
  </si>
  <si>
    <t>McKesson</t>
  </si>
  <si>
    <t>ConocoPhillips</t>
  </si>
  <si>
    <t>Kroger</t>
  </si>
  <si>
    <t>Hewlett-Packard</t>
  </si>
  <si>
    <t>Миннеаполис</t>
  </si>
  <si>
    <t>Хайди</t>
  </si>
  <si>
    <t>Target</t>
  </si>
  <si>
    <t>Kraft Foods</t>
  </si>
  <si>
    <t>Home Depot</t>
  </si>
  <si>
    <t>JP Morgan Chase</t>
  </si>
  <si>
    <t>Южная Калифорния</t>
  </si>
  <si>
    <t>Лео</t>
  </si>
  <si>
    <t>Costco</t>
  </si>
  <si>
    <t>Caterpillar</t>
  </si>
  <si>
    <t>Клиент</t>
  </si>
  <si>
    <t>Артикул товара</t>
  </si>
  <si>
    <t>Москва</t>
  </si>
  <si>
    <t>Иванов</t>
  </si>
  <si>
    <t>Артикул</t>
  </si>
  <si>
    <t>Питер</t>
  </si>
  <si>
    <t>Петров</t>
  </si>
  <si>
    <t>Вологда</t>
  </si>
  <si>
    <t>Сидоров</t>
  </si>
  <si>
    <t>Самара</t>
  </si>
  <si>
    <t>Михайлов</t>
  </si>
  <si>
    <t>Сургут</t>
  </si>
  <si>
    <t>Тарасов</t>
  </si>
  <si>
    <t>Новгород</t>
  </si>
  <si>
    <t>Кузнецов</t>
  </si>
  <si>
    <t>Тамбов</t>
  </si>
  <si>
    <t>Березин</t>
  </si>
  <si>
    <t>Магадан</t>
  </si>
  <si>
    <t>Теркин</t>
  </si>
  <si>
    <t>Чита</t>
  </si>
  <si>
    <t>Степанов</t>
  </si>
  <si>
    <t>Орск</t>
  </si>
  <si>
    <t>Щеглов</t>
  </si>
  <si>
    <t>Челябинск</t>
  </si>
  <si>
    <t>Шоркин</t>
  </si>
  <si>
    <t>Новосибирск</t>
  </si>
  <si>
    <t>Баранов</t>
  </si>
  <si>
    <t>Итог</t>
  </si>
  <si>
    <t>Значения</t>
  </si>
  <si>
    <t>Задание:</t>
  </si>
  <si>
    <t>Заполнить столбец таблицы значениями начиная с "10" до "1000" с интервалом "10"</t>
  </si>
  <si>
    <t>По кварталам</t>
  </si>
  <si>
    <t>По регионам</t>
  </si>
  <si>
    <t>Вывести суммы по продажам в 3 таблицы справа на основе предоставленных данных</t>
  </si>
  <si>
    <t>По регионам и кварталу</t>
  </si>
  <si>
    <t>Вывести количество сотрудников в сооветствии с заголовками таблиц на основе предоставленных данных</t>
  </si>
  <si>
    <t>Количество сотрудников по должностям</t>
  </si>
  <si>
    <t>ФИО1</t>
  </si>
  <si>
    <t>ФИО2</t>
  </si>
  <si>
    <t>ФИО3</t>
  </si>
  <si>
    <t>ФИО4</t>
  </si>
  <si>
    <t>ФИО5</t>
  </si>
  <si>
    <t>ФИО6</t>
  </si>
  <si>
    <t>ФИО7</t>
  </si>
  <si>
    <t>ФИО8</t>
  </si>
  <si>
    <t>ФИО9</t>
  </si>
  <si>
    <t>ФИО10</t>
  </si>
  <si>
    <t>ФИО11</t>
  </si>
  <si>
    <t>ФИО12</t>
  </si>
  <si>
    <t>ФИО13</t>
  </si>
  <si>
    <t>ФИО14</t>
  </si>
  <si>
    <t>ФИО15</t>
  </si>
  <si>
    <t>ФИО16</t>
  </si>
  <si>
    <t>ФИО17</t>
  </si>
  <si>
    <t>ФИО18</t>
  </si>
  <si>
    <t>ФИО19</t>
  </si>
  <si>
    <t>ФИО20</t>
  </si>
  <si>
    <t>ФИО21</t>
  </si>
  <si>
    <t>ФИО22</t>
  </si>
  <si>
    <t>ФИО23</t>
  </si>
  <si>
    <t>ФИО24</t>
  </si>
  <si>
    <t>ФИО25</t>
  </si>
  <si>
    <t>ФИО26</t>
  </si>
  <si>
    <t>ФИО27</t>
  </si>
  <si>
    <t>ФИО28</t>
  </si>
  <si>
    <t>ФИО29</t>
  </si>
  <si>
    <t>ФИО30</t>
  </si>
  <si>
    <t>ФИО31</t>
  </si>
  <si>
    <t>ФИО32</t>
  </si>
  <si>
    <t>ФИО33</t>
  </si>
  <si>
    <t>ФИО34</t>
  </si>
  <si>
    <t>ФИО35</t>
  </si>
  <si>
    <t>ФИО36</t>
  </si>
  <si>
    <t>ФИО37</t>
  </si>
  <si>
    <t>ФИО38</t>
  </si>
  <si>
    <t>ФИО39</t>
  </si>
  <si>
    <t>ФИО40</t>
  </si>
  <si>
    <t>ФИО41</t>
  </si>
  <si>
    <t>ФИО42</t>
  </si>
  <si>
    <t>ФИО43</t>
  </si>
  <si>
    <t>ФИО44</t>
  </si>
  <si>
    <t>ФИО45</t>
  </si>
  <si>
    <t>ФИО46</t>
  </si>
  <si>
    <t>ФИО47</t>
  </si>
  <si>
    <t>ФИО48</t>
  </si>
  <si>
    <t>ФИО49</t>
  </si>
  <si>
    <t>ФИО50</t>
  </si>
  <si>
    <t>ФИО51</t>
  </si>
  <si>
    <t>ФИО52</t>
  </si>
  <si>
    <t>ФИО53</t>
  </si>
  <si>
    <t>ФИО54</t>
  </si>
  <si>
    <t>ФИО55</t>
  </si>
  <si>
    <t>ФИО56</t>
  </si>
  <si>
    <t>ФИО57</t>
  </si>
  <si>
    <t>ФИО58</t>
  </si>
  <si>
    <t>ФИО59</t>
  </si>
  <si>
    <t>ФИО60</t>
  </si>
  <si>
    <t>ФИО61</t>
  </si>
  <si>
    <t>ФИО62</t>
  </si>
  <si>
    <t>ФИО63</t>
  </si>
  <si>
    <t>ФИО64</t>
  </si>
  <si>
    <t>ФИО65</t>
  </si>
  <si>
    <t>ФИО66</t>
  </si>
  <si>
    <t>ФИО67</t>
  </si>
  <si>
    <t>ФИО68</t>
  </si>
  <si>
    <t>ФИО69</t>
  </si>
  <si>
    <t>ФИО70</t>
  </si>
  <si>
    <t>ФИО71</t>
  </si>
  <si>
    <t>ФИО72</t>
  </si>
  <si>
    <t>ФИО73</t>
  </si>
  <si>
    <t>ФИО74</t>
  </si>
  <si>
    <t>ФИО75</t>
  </si>
  <si>
    <t>ФИО76</t>
  </si>
  <si>
    <t>ФИО77</t>
  </si>
  <si>
    <t>ФИО78</t>
  </si>
  <si>
    <t>ФИО79</t>
  </si>
  <si>
    <t>ФИО80</t>
  </si>
  <si>
    <t>ФИО81</t>
  </si>
  <si>
    <t>ФИО82</t>
  </si>
  <si>
    <t>ФИО83</t>
  </si>
  <si>
    <t>ФИО84</t>
  </si>
  <si>
    <t>ФИО85</t>
  </si>
  <si>
    <t>ФИО86</t>
  </si>
  <si>
    <t>Компания</t>
  </si>
  <si>
    <t>Внедрение</t>
  </si>
  <si>
    <t>Информ</t>
  </si>
  <si>
    <t>Квалификация</t>
  </si>
  <si>
    <t xml:space="preserve">Аудит </t>
  </si>
  <si>
    <t xml:space="preserve">Оценка </t>
  </si>
  <si>
    <t>Кол-во сотрудников-мужчин в компаниях</t>
  </si>
  <si>
    <t>Удалить "лишние" пробелы из столбца "А"</t>
  </si>
  <si>
    <t>Фамилия</t>
  </si>
  <si>
    <t>Имя</t>
  </si>
  <si>
    <t>Отчество</t>
  </si>
  <si>
    <t>Используя данные таблицы, необходимо заполнить столбец "Рентабельность" по следующим условиям:</t>
  </si>
  <si>
    <t>Если уровень продаж той или иной марки составляет не менее 8% от общего уровня, то необходимо в столбце отображать "да", иначе - "нет"</t>
  </si>
  <si>
    <t>Используя данные таблиц справа заполнить столбцы "Сумма", "Скидка" и "Сумма с учетом скидки"</t>
  </si>
  <si>
    <t xml:space="preserve">Определите Регион поставки и клиента по артикулу товара, набранному в ячейку J3.
</t>
  </si>
  <si>
    <t>Используя функцию Excel заменить код ошибки  #Н/Д в поле Премия на числовое значение - 0.</t>
  </si>
  <si>
    <t>Сделайте 2 сводные таблицы на основе данных с Листа "Данные" по предоставленным образцам</t>
  </si>
  <si>
    <t>1. Разнести фамилию, имя и отчество по трем разным столбцам, используя встроенную функцию Excel</t>
  </si>
  <si>
    <t>2. Разнести фамилию, имя и отчество по трем разным столбцам, используя набор функций по работе со строками</t>
  </si>
  <si>
    <t>Вычислить стоимость в соответствующей иностранной валюте, после чего округлить  до 2-х знаков</t>
  </si>
  <si>
    <t>Фирма "Лютики"</t>
  </si>
  <si>
    <t>Фирма "Гвоздика"</t>
  </si>
  <si>
    <t>Фирма "Ромашка"</t>
  </si>
  <si>
    <t>Фирма "Хризантема"</t>
  </si>
  <si>
    <t>Количество от</t>
  </si>
  <si>
    <t>Запись формульного выражения должна быть универсальной. Формула не меняется, если добавить новые уровни в таблицу "Таблица_Диапазонов"</t>
  </si>
  <si>
    <t>Задание 1:</t>
  </si>
  <si>
    <t>Задание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</si>
</sst>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&quot;р.&quot;"/>
    <numFmt numFmtId="167" formatCode="_-* #,##0&quot;р.&quot;_-;\-* #,##0&quot;р.&quot;_-;_-* &quot;-&quot;??&quot;р.&quot;_-;_-@_-"/>
    <numFmt numFmtId="168" formatCode="_-[$€-2]\ * #,##0.00_-;\-[$€-2]\ * #,##0.00_-;_-[$€-2]\ * &quot;-&quot;??_-;_-@_-"/>
    <numFmt numFmtId="169" formatCode="_-* #,##0.00[$р.-419]_-;\-* #,##0.00[$р.-419]_-;_-* &quot;-&quot;??[$р.-419]_-;_-@_-"/>
    <numFmt numFmtId="170" formatCode="0.000"/>
  </numFmts>
  <fonts count="3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1"/>
      <color theme="7" tint="-0.49998474074526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8"/>
      <color theme="3"/>
      <name val="Calibri Light"/>
      <family val="2"/>
      <charset val="204"/>
      <scheme val="major"/>
    </font>
    <font>
      <i/>
      <sz val="10"/>
      <name val="Arial Cyr"/>
      <charset val="204"/>
    </font>
    <font>
      <b/>
      <sz val="11"/>
      <name val="Arial Cyr"/>
      <charset val="204"/>
    </font>
    <font>
      <sz val="11"/>
      <name val="Arial Cyr"/>
      <family val="2"/>
      <charset val="204"/>
    </font>
    <font>
      <sz val="10"/>
      <name val="Arial Cy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3"/>
      <name val="Calibri"/>
      <family val="2"/>
      <charset val="204"/>
      <scheme val="minor"/>
    </font>
    <font>
      <b/>
      <sz val="9"/>
      <color indexed="9"/>
      <name val="Calibri"/>
      <family val="2"/>
      <charset val="204"/>
      <scheme val="minor"/>
    </font>
    <font>
      <sz val="9"/>
      <color indexed="18"/>
      <name val="Calibri"/>
      <family val="2"/>
      <charset val="204"/>
      <scheme val="minor"/>
    </font>
    <font>
      <i/>
      <sz val="9"/>
      <color theme="4" tint="-0.49998474074526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18"/>
        <bgColor indexed="64"/>
      </patternFill>
    </fill>
    <fill>
      <patternFill patternType="solid">
        <fgColor theme="4" tint="0.79998168889431442"/>
        <bgColor indexed="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6" tint="-0.249977111117893"/>
        <bgColor theme="4" tint="-0.249977111117893"/>
      </patternFill>
    </fill>
    <fill>
      <patternFill patternType="solid">
        <fgColor theme="6" tint="-0.249977111117893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ck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theme="4"/>
      </left>
      <right/>
      <top style="medium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medium">
        <color theme="7"/>
      </left>
      <right style="thin">
        <color theme="7"/>
      </right>
      <top style="medium">
        <color theme="7"/>
      </top>
      <bottom/>
      <diagonal/>
    </border>
    <border>
      <left style="thin">
        <color theme="7"/>
      </left>
      <right style="medium">
        <color theme="7"/>
      </right>
      <top style="medium">
        <color theme="7"/>
      </top>
      <bottom/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 style="thin">
        <color theme="7"/>
      </right>
      <top/>
      <bottom style="medium">
        <color theme="7"/>
      </bottom>
      <diagonal/>
    </border>
    <border>
      <left style="thin">
        <color theme="7"/>
      </left>
      <right style="medium">
        <color theme="7"/>
      </right>
      <top/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 style="thin">
        <color theme="7"/>
      </right>
      <top style="medium">
        <color theme="7"/>
      </top>
      <bottom style="thin">
        <color theme="7"/>
      </bottom>
      <diagonal/>
    </border>
    <border>
      <left style="thin">
        <color theme="7"/>
      </left>
      <right style="medium">
        <color theme="7"/>
      </right>
      <top style="medium">
        <color theme="7"/>
      </top>
      <bottom style="thin">
        <color theme="7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 style="medium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medium">
        <color theme="7"/>
      </right>
      <top style="thin">
        <color theme="7"/>
      </top>
      <bottom style="thin">
        <color theme="7"/>
      </bottom>
      <diagonal/>
    </border>
    <border>
      <left style="medium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medium">
        <color theme="7"/>
      </right>
      <top style="thin">
        <color theme="7"/>
      </top>
      <bottom/>
      <diagonal/>
    </border>
    <border>
      <left style="medium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medium">
        <color theme="7"/>
      </right>
      <top style="thin">
        <color theme="7"/>
      </top>
      <bottom style="medium">
        <color theme="7"/>
      </bottom>
      <diagonal/>
    </border>
    <border>
      <left style="medium">
        <color theme="7"/>
      </left>
      <right/>
      <top style="thin">
        <color theme="7"/>
      </top>
      <bottom style="medium">
        <color theme="7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 style="medium">
        <color theme="7"/>
      </right>
      <top style="thin">
        <color theme="7"/>
      </top>
      <bottom style="medium">
        <color theme="7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9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9"/>
      </right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hair">
        <color indexed="18"/>
      </left>
      <right/>
      <top style="hair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/>
      <top/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thick">
        <color indexed="18"/>
      </bottom>
      <diagonal/>
    </border>
    <border>
      <left/>
      <right/>
      <top style="thin">
        <color indexed="18"/>
      </top>
      <bottom style="thick">
        <color indexed="18"/>
      </bottom>
      <diagonal/>
    </border>
    <border>
      <left/>
      <right/>
      <top style="thin">
        <color indexed="18"/>
      </top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</borders>
  <cellStyleXfs count="2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8" fillId="0" borderId="3" applyNumberFormat="0" applyFill="0" applyAlignment="0" applyProtection="0"/>
    <xf numFmtId="0" fontId="9" fillId="5" borderId="0" applyNumberFormat="0" applyBorder="0" applyAlignment="0" applyProtection="0"/>
    <xf numFmtId="0" fontId="1" fillId="0" borderId="0"/>
    <xf numFmtId="0" fontId="10" fillId="0" borderId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3" fillId="0" borderId="0"/>
    <xf numFmtId="0" fontId="10" fillId="0" borderId="0"/>
    <xf numFmtId="9" fontId="1" fillId="0" borderId="0" applyFont="0" applyFill="0" applyBorder="0" applyAlignment="0" applyProtection="0"/>
    <xf numFmtId="0" fontId="10" fillId="0" borderId="0"/>
    <xf numFmtId="0" fontId="1" fillId="4" borderId="0" applyNumberFormat="0" applyBorder="0" applyAlignment="0" applyProtection="0"/>
    <xf numFmtId="0" fontId="10" fillId="0" borderId="0"/>
    <xf numFmtId="0" fontId="13" fillId="0" borderId="0"/>
  </cellStyleXfs>
  <cellXfs count="184">
    <xf numFmtId="0" fontId="0" fillId="0" borderId="0" xfId="0"/>
    <xf numFmtId="0" fontId="8" fillId="0" borderId="3" xfId="9"/>
    <xf numFmtId="164" fontId="8" fillId="0" borderId="3" xfId="9" applyNumberFormat="1"/>
    <xf numFmtId="0" fontId="6" fillId="2" borderId="0" xfId="8"/>
    <xf numFmtId="0" fontId="1" fillId="0" borderId="0" xfId="11"/>
    <xf numFmtId="0" fontId="1" fillId="8" borderId="0" xfId="11" applyFill="1"/>
    <xf numFmtId="0" fontId="11" fillId="0" borderId="3" xfId="9" applyFont="1"/>
    <xf numFmtId="0" fontId="5" fillId="0" borderId="0" xfId="7" applyAlignment="1">
      <alignment horizontal="centerContinuous"/>
    </xf>
    <xf numFmtId="0" fontId="11" fillId="0" borderId="3" xfId="9" applyFont="1" applyAlignment="1">
      <alignment horizontal="center" vertical="center"/>
    </xf>
    <xf numFmtId="14" fontId="0" fillId="0" borderId="0" xfId="0" applyNumberFormat="1"/>
    <xf numFmtId="0" fontId="7" fillId="7" borderId="19" xfId="11" applyFont="1" applyFill="1" applyBorder="1"/>
    <xf numFmtId="0" fontId="7" fillId="7" borderId="4" xfId="11" applyFont="1" applyFill="1" applyBorder="1"/>
    <xf numFmtId="0" fontId="7" fillId="7" borderId="20" xfId="11" applyFont="1" applyFill="1" applyBorder="1"/>
    <xf numFmtId="0" fontId="1" fillId="0" borderId="19" xfId="11" applyFont="1" applyBorder="1"/>
    <xf numFmtId="0" fontId="1" fillId="0" borderId="4" xfId="11" applyFont="1" applyBorder="1"/>
    <xf numFmtId="2" fontId="1" fillId="0" borderId="4" xfId="11" applyNumberFormat="1" applyFont="1" applyBorder="1"/>
    <xf numFmtId="168" fontId="1" fillId="0" borderId="4" xfId="11" applyNumberFormat="1" applyFont="1" applyBorder="1"/>
    <xf numFmtId="169" fontId="1" fillId="0" borderId="4" xfId="11" applyNumberFormat="1" applyFont="1" applyBorder="1"/>
    <xf numFmtId="169" fontId="1" fillId="0" borderId="20" xfId="11" applyNumberFormat="1" applyFont="1" applyBorder="1"/>
    <xf numFmtId="0" fontId="1" fillId="0" borderId="21" xfId="11" applyFont="1" applyBorder="1"/>
    <xf numFmtId="0" fontId="1" fillId="0" borderId="5" xfId="11" applyFont="1" applyBorder="1"/>
    <xf numFmtId="2" fontId="1" fillId="0" borderId="5" xfId="11" applyNumberFormat="1" applyFont="1" applyBorder="1"/>
    <xf numFmtId="0" fontId="1" fillId="3" borderId="0" xfId="14" applyNumberFormat="1" applyBorder="1" applyAlignment="1">
      <alignment horizontal="center" vertical="center"/>
    </xf>
    <xf numFmtId="0" fontId="1" fillId="3" borderId="28" xfId="14" applyBorder="1" applyAlignment="1">
      <alignment horizontal="center" vertical="center"/>
    </xf>
    <xf numFmtId="0" fontId="1" fillId="0" borderId="29" xfId="11" applyFont="1" applyBorder="1"/>
    <xf numFmtId="164" fontId="1" fillId="3" borderId="30" xfId="14" applyNumberFormat="1" applyBorder="1"/>
    <xf numFmtId="0" fontId="1" fillId="0" borderId="31" xfId="11" applyFont="1" applyBorder="1"/>
    <xf numFmtId="0" fontId="1" fillId="0" borderId="32" xfId="11" applyFont="1" applyBorder="1"/>
    <xf numFmtId="0" fontId="1" fillId="0" borderId="28" xfId="11" applyFont="1" applyBorder="1"/>
    <xf numFmtId="0" fontId="1" fillId="0" borderId="33" xfId="11" applyFont="1" applyBorder="1"/>
    <xf numFmtId="164" fontId="1" fillId="3" borderId="34" xfId="14" applyNumberFormat="1" applyBorder="1"/>
    <xf numFmtId="0" fontId="1" fillId="0" borderId="35" xfId="11" applyFont="1" applyBorder="1"/>
    <xf numFmtId="0" fontId="1" fillId="0" borderId="36" xfId="11" applyFont="1" applyBorder="1"/>
    <xf numFmtId="0" fontId="1" fillId="0" borderId="37" xfId="11" applyFont="1" applyBorder="1"/>
    <xf numFmtId="0" fontId="1" fillId="0" borderId="38" xfId="11" applyFont="1" applyBorder="1"/>
    <xf numFmtId="164" fontId="1" fillId="3" borderId="39" xfId="14" applyNumberFormat="1" applyBorder="1"/>
    <xf numFmtId="0" fontId="1" fillId="0" borderId="40" xfId="11" applyFont="1" applyBorder="1"/>
    <xf numFmtId="0" fontId="1" fillId="0" borderId="41" xfId="11" applyFont="1" applyBorder="1"/>
    <xf numFmtId="0" fontId="1" fillId="0" borderId="42" xfId="11" applyFont="1" applyBorder="1"/>
    <xf numFmtId="0" fontId="14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10" fillId="0" borderId="0" xfId="0" applyFont="1" applyAlignment="1">
      <alignment vertical="center"/>
    </xf>
    <xf numFmtId="0" fontId="16" fillId="0" borderId="0" xfId="15" applyFont="1" applyAlignment="1">
      <alignment vertical="center"/>
    </xf>
    <xf numFmtId="0" fontId="17" fillId="11" borderId="43" xfId="16" applyFont="1" applyFill="1" applyBorder="1" applyAlignment="1">
      <alignment horizontal="left" vertical="center" wrapText="1"/>
    </xf>
    <xf numFmtId="0" fontId="15" fillId="0" borderId="43" xfId="15" applyFont="1" applyBorder="1"/>
    <xf numFmtId="0" fontId="10" fillId="0" borderId="0" xfId="0" applyFont="1"/>
    <xf numFmtId="0" fontId="15" fillId="0" borderId="0" xfId="15" applyFont="1"/>
    <xf numFmtId="0" fontId="17" fillId="11" borderId="43" xfId="16" applyFont="1" applyFill="1" applyBorder="1" applyAlignment="1">
      <alignment horizontal="center" vertical="center" wrapText="1"/>
    </xf>
    <xf numFmtId="0" fontId="15" fillId="0" borderId="43" xfId="15" applyNumberFormat="1" applyFont="1" applyBorder="1"/>
    <xf numFmtId="0" fontId="1" fillId="0" borderId="44" xfId="11" applyBorder="1"/>
    <xf numFmtId="0" fontId="18" fillId="0" borderId="0" xfId="0" applyFont="1"/>
    <xf numFmtId="0" fontId="7" fillId="15" borderId="52" xfId="11" applyFont="1" applyFill="1" applyBorder="1"/>
    <xf numFmtId="14" fontId="7" fillId="15" borderId="53" xfId="11" applyNumberFormat="1" applyFont="1" applyFill="1" applyBorder="1"/>
    <xf numFmtId="14" fontId="7" fillId="15" borderId="54" xfId="11" applyNumberFormat="1" applyFont="1" applyFill="1" applyBorder="1"/>
    <xf numFmtId="0" fontId="1" fillId="0" borderId="55" xfId="11" applyFont="1" applyBorder="1"/>
    <xf numFmtId="170" fontId="1" fillId="0" borderId="56" xfId="11" applyNumberFormat="1" applyFont="1" applyBorder="1"/>
    <xf numFmtId="170" fontId="1" fillId="0" borderId="57" xfId="11" applyNumberFormat="1" applyFont="1" applyBorder="1"/>
    <xf numFmtId="0" fontId="0" fillId="0" borderId="0" xfId="0" applyAlignment="1">
      <alignment horizontal="centerContinuous"/>
    </xf>
    <xf numFmtId="0" fontId="7" fillId="16" borderId="44" xfId="0" applyFont="1" applyFill="1" applyBorder="1" applyAlignment="1">
      <alignment horizontal="center" vertical="center"/>
    </xf>
    <xf numFmtId="0" fontId="7" fillId="17" borderId="44" xfId="0" applyFont="1" applyFill="1" applyBorder="1" applyAlignment="1">
      <alignment horizontal="center" vertical="center"/>
    </xf>
    <xf numFmtId="0" fontId="7" fillId="17" borderId="44" xfId="0" applyFont="1" applyFill="1" applyBorder="1" applyAlignment="1">
      <alignment horizontal="center" vertical="center" wrapText="1"/>
    </xf>
    <xf numFmtId="0" fontId="9" fillId="18" borderId="44" xfId="0" applyFont="1" applyFill="1" applyBorder="1"/>
    <xf numFmtId="0" fontId="9" fillId="19" borderId="44" xfId="0" applyFont="1" applyFill="1" applyBorder="1"/>
    <xf numFmtId="0" fontId="20" fillId="0" borderId="0" xfId="0" quotePrefix="1" applyFont="1"/>
    <xf numFmtId="0" fontId="9" fillId="9" borderId="44" xfId="0" applyFont="1" applyFill="1" applyBorder="1"/>
    <xf numFmtId="0" fontId="9" fillId="20" borderId="44" xfId="0" applyFont="1" applyFill="1" applyBorder="1"/>
    <xf numFmtId="0" fontId="0" fillId="0" borderId="0" xfId="0" quotePrefix="1"/>
    <xf numFmtId="0" fontId="21" fillId="21" borderId="59" xfId="0" applyFont="1" applyFill="1" applyBorder="1" applyAlignment="1">
      <alignment horizontal="center" vertical="center" wrapText="1"/>
    </xf>
    <xf numFmtId="0" fontId="21" fillId="21" borderId="59" xfId="0" applyFont="1" applyFill="1" applyBorder="1" applyAlignment="1">
      <alignment horizontal="center" vertical="center"/>
    </xf>
    <xf numFmtId="0" fontId="22" fillId="0" borderId="59" xfId="0" applyNumberFormat="1" applyFont="1" applyBorder="1"/>
    <xf numFmtId="0" fontId="22" fillId="0" borderId="59" xfId="0" applyNumberFormat="1" applyFont="1" applyBorder="1" applyAlignment="1">
      <alignment horizontal="center"/>
    </xf>
    <xf numFmtId="0" fontId="23" fillId="0" borderId="59" xfId="0" applyFont="1" applyBorder="1"/>
    <xf numFmtId="0" fontId="0" fillId="0" borderId="0" xfId="0" applyAlignment="1">
      <alignment wrapText="1"/>
    </xf>
    <xf numFmtId="0" fontId="13" fillId="0" borderId="0" xfId="21" applyFill="1" applyBorder="1"/>
    <xf numFmtId="0" fontId="13" fillId="0" borderId="0" xfId="21" applyNumberFormat="1" applyFont="1" applyFill="1" applyBorder="1" applyAlignment="1"/>
    <xf numFmtId="0" fontId="24" fillId="0" borderId="0" xfId="21" applyNumberFormat="1" applyFont="1" applyFill="1" applyBorder="1" applyAlignment="1"/>
    <xf numFmtId="14" fontId="13" fillId="0" borderId="0" xfId="21" applyNumberFormat="1" applyFont="1" applyFill="1" applyBorder="1" applyAlignment="1"/>
    <xf numFmtId="0" fontId="25" fillId="0" borderId="0" xfId="21" applyFont="1" applyFill="1" applyBorder="1"/>
    <xf numFmtId="0" fontId="7" fillId="7" borderId="65" xfId="0" applyFont="1" applyFill="1" applyBorder="1" applyAlignment="1">
      <alignment vertical="center"/>
    </xf>
    <xf numFmtId="0" fontId="7" fillId="7" borderId="66" xfId="0" applyFont="1" applyFill="1" applyBorder="1" applyAlignment="1">
      <alignment vertical="center"/>
    </xf>
    <xf numFmtId="0" fontId="7" fillId="7" borderId="66" xfId="0" applyFont="1" applyFill="1" applyBorder="1" applyAlignment="1">
      <alignment horizontal="center" vertical="center" wrapText="1"/>
    </xf>
    <xf numFmtId="0" fontId="7" fillId="7" borderId="67" xfId="0" applyFont="1" applyFill="1" applyBorder="1" applyAlignment="1">
      <alignment vertical="center"/>
    </xf>
    <xf numFmtId="0" fontId="0" fillId="22" borderId="68" xfId="0" applyFont="1" applyFill="1" applyBorder="1"/>
    <xf numFmtId="0" fontId="0" fillId="22" borderId="69" xfId="0" applyFont="1" applyFill="1" applyBorder="1"/>
    <xf numFmtId="0" fontId="0" fillId="22" borderId="70" xfId="0" applyFont="1" applyFill="1" applyBorder="1"/>
    <xf numFmtId="0" fontId="7" fillId="7" borderId="66" xfId="0" applyFont="1" applyFill="1" applyBorder="1"/>
    <xf numFmtId="0" fontId="0" fillId="0" borderId="71" xfId="0" applyBorder="1"/>
    <xf numFmtId="0" fontId="0" fillId="0" borderId="68" xfId="0" applyFont="1" applyBorder="1"/>
    <xf numFmtId="0" fontId="0" fillId="0" borderId="69" xfId="0" applyFont="1" applyBorder="1"/>
    <xf numFmtId="0" fontId="0" fillId="0" borderId="70" xfId="0" applyFont="1" applyBorder="1"/>
    <xf numFmtId="0" fontId="0" fillId="0" borderId="72" xfId="0" applyBorder="1"/>
    <xf numFmtId="0" fontId="1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26" fillId="0" borderId="0" xfId="21" applyNumberFormat="1" applyFont="1" applyFill="1" applyBorder="1" applyAlignment="1"/>
    <xf numFmtId="0" fontId="26" fillId="0" borderId="0" xfId="21" applyNumberFormat="1" applyFont="1" applyFill="1" applyBorder="1" applyAlignment="1">
      <alignment horizontal="right"/>
    </xf>
    <xf numFmtId="0" fontId="27" fillId="0" borderId="0" xfId="0" applyFont="1"/>
    <xf numFmtId="0" fontId="30" fillId="0" borderId="0" xfId="7" applyFont="1"/>
    <xf numFmtId="0" fontId="30" fillId="0" borderId="0" xfId="7" applyFont="1" applyBorder="1" applyAlignment="1">
      <alignment horizontal="left"/>
    </xf>
    <xf numFmtId="0" fontId="31" fillId="10" borderId="75" xfId="12" applyNumberFormat="1" applyFont="1" applyFill="1" applyBorder="1" applyAlignment="1">
      <alignment horizontal="center"/>
    </xf>
    <xf numFmtId="0" fontId="31" fillId="10" borderId="76" xfId="12" applyNumberFormat="1" applyFont="1" applyFill="1" applyBorder="1" applyAlignment="1">
      <alignment horizontal="center"/>
    </xf>
    <xf numFmtId="166" fontId="31" fillId="10" borderId="77" xfId="12" applyNumberFormat="1" applyFont="1" applyFill="1" applyBorder="1" applyAlignment="1">
      <alignment horizontal="center"/>
    </xf>
    <xf numFmtId="0" fontId="31" fillId="10" borderId="11" xfId="12" applyNumberFormat="1" applyFont="1" applyFill="1" applyBorder="1" applyAlignment="1">
      <alignment horizontal="center"/>
    </xf>
    <xf numFmtId="166" fontId="31" fillId="10" borderId="13" xfId="12" applyNumberFormat="1" applyFont="1" applyFill="1" applyBorder="1" applyAlignment="1">
      <alignment horizontal="center"/>
    </xf>
    <xf numFmtId="0" fontId="32" fillId="0" borderId="73" xfId="12" applyNumberFormat="1" applyFont="1" applyBorder="1" applyAlignment="1"/>
    <xf numFmtId="0" fontId="32" fillId="0" borderId="15" xfId="12" applyNumberFormat="1" applyFont="1" applyBorder="1" applyAlignment="1">
      <alignment horizontal="center"/>
    </xf>
    <xf numFmtId="167" fontId="32" fillId="0" borderId="74" xfId="2" applyNumberFormat="1" applyFont="1" applyBorder="1" applyAlignment="1"/>
    <xf numFmtId="0" fontId="32" fillId="0" borderId="14" xfId="12" applyNumberFormat="1" applyFont="1" applyBorder="1" applyAlignment="1"/>
    <xf numFmtId="167" fontId="32" fillId="0" borderId="14" xfId="2" applyNumberFormat="1" applyFont="1" applyBorder="1" applyAlignment="1"/>
    <xf numFmtId="0" fontId="31" fillId="10" borderId="12" xfId="12" applyNumberFormat="1" applyFont="1" applyFill="1" applyBorder="1" applyAlignment="1">
      <alignment horizontal="center"/>
    </xf>
    <xf numFmtId="166" fontId="30" fillId="0" borderId="13" xfId="7" applyNumberFormat="1" applyFont="1" applyFill="1" applyBorder="1" applyAlignment="1">
      <alignment horizontal="center"/>
    </xf>
    <xf numFmtId="165" fontId="33" fillId="0" borderId="0" xfId="1" applyFont="1"/>
    <xf numFmtId="0" fontId="31" fillId="10" borderId="16" xfId="12" applyNumberFormat="1" applyFont="1" applyFill="1" applyBorder="1" applyAlignment="1">
      <alignment horizontal="center"/>
    </xf>
    <xf numFmtId="0" fontId="32" fillId="0" borderId="16" xfId="12" applyNumberFormat="1" applyFont="1" applyBorder="1" applyAlignment="1"/>
    <xf numFmtId="0" fontId="32" fillId="0" borderId="51" xfId="12" applyNumberFormat="1" applyFont="1" applyBorder="1" applyAlignment="1">
      <alignment horizontal="center"/>
    </xf>
    <xf numFmtId="167" fontId="32" fillId="0" borderId="78" xfId="2" applyNumberFormat="1" applyFont="1" applyBorder="1" applyAlignment="1"/>
    <xf numFmtId="0" fontId="30" fillId="0" borderId="0" xfId="7" applyFont="1" applyBorder="1" applyAlignment="1">
      <alignment horizontal="centerContinuous"/>
    </xf>
    <xf numFmtId="0" fontId="28" fillId="9" borderId="6" xfId="0" applyFont="1" applyFill="1" applyBorder="1"/>
    <xf numFmtId="0" fontId="28" fillId="9" borderId="7" xfId="0" applyFont="1" applyFill="1" applyBorder="1"/>
    <xf numFmtId="0" fontId="28" fillId="9" borderId="0" xfId="0" applyFont="1" applyFill="1" applyBorder="1"/>
    <xf numFmtId="0" fontId="28" fillId="9" borderId="79" xfId="0" applyFont="1" applyFill="1" applyBorder="1"/>
    <xf numFmtId="0" fontId="34" fillId="0" borderId="3" xfId="9" applyFont="1" applyFill="1"/>
    <xf numFmtId="165" fontId="34" fillId="0" borderId="3" xfId="1" applyFont="1" applyBorder="1"/>
    <xf numFmtId="0" fontId="27" fillId="0" borderId="6" xfId="0" applyFont="1" applyBorder="1"/>
    <xf numFmtId="0" fontId="27" fillId="0" borderId="7" xfId="0" applyFont="1" applyBorder="1"/>
    <xf numFmtId="0" fontId="27" fillId="0" borderId="8" xfId="0" applyFont="1" applyBorder="1"/>
    <xf numFmtId="0" fontId="27" fillId="0" borderId="9" xfId="0" applyFont="1" applyBorder="1"/>
    <xf numFmtId="0" fontId="27" fillId="0" borderId="10" xfId="0" applyFont="1" applyBorder="1"/>
    <xf numFmtId="0" fontId="32" fillId="0" borderId="82" xfId="12" applyNumberFormat="1" applyFont="1" applyBorder="1" applyAlignment="1"/>
    <xf numFmtId="167" fontId="32" fillId="0" borderId="82" xfId="2" applyNumberFormat="1" applyFont="1" applyBorder="1" applyAlignment="1"/>
    <xf numFmtId="0" fontId="28" fillId="5" borderId="17" xfId="10" applyFont="1" applyBorder="1" applyAlignment="1">
      <alignment horizontal="center" vertical="center"/>
    </xf>
    <xf numFmtId="0" fontId="29" fillId="0" borderId="0" xfId="0" applyFont="1" applyBorder="1" applyAlignment="1"/>
    <xf numFmtId="0" fontId="33" fillId="0" borderId="0" xfId="0" applyFont="1"/>
    <xf numFmtId="0" fontId="27" fillId="0" borderId="0" xfId="0" applyFont="1" applyBorder="1"/>
    <xf numFmtId="0" fontId="28" fillId="0" borderId="0" xfId="0" applyFont="1" applyFill="1" applyBorder="1" applyAlignment="1">
      <alignment horizontal="center" vertical="center"/>
    </xf>
    <xf numFmtId="0" fontId="30" fillId="0" borderId="2" xfId="6" applyFont="1"/>
    <xf numFmtId="0" fontId="27" fillId="0" borderId="0" xfId="0" quotePrefix="1" applyFont="1"/>
    <xf numFmtId="0" fontId="27" fillId="0" borderId="0" xfId="20" applyFont="1"/>
    <xf numFmtId="0" fontId="29" fillId="4" borderId="60" xfId="19" applyFont="1" applyBorder="1" applyAlignment="1">
      <alignment horizontal="center"/>
    </xf>
    <xf numFmtId="0" fontId="29" fillId="4" borderId="61" xfId="19" applyFont="1" applyBorder="1" applyAlignment="1">
      <alignment horizontal="center"/>
    </xf>
    <xf numFmtId="0" fontId="29" fillId="4" borderId="62" xfId="19" applyFont="1" applyBorder="1" applyAlignment="1">
      <alignment horizontal="center"/>
    </xf>
    <xf numFmtId="0" fontId="29" fillId="4" borderId="63" xfId="19" applyNumberFormat="1" applyFont="1" applyBorder="1" applyAlignment="1">
      <alignment horizontal="center"/>
    </xf>
    <xf numFmtId="0" fontId="27" fillId="0" borderId="64" xfId="0" applyFont="1" applyBorder="1"/>
    <xf numFmtId="0" fontId="32" fillId="0" borderId="63" xfId="20" applyFont="1" applyBorder="1" applyAlignment="1">
      <alignment horizontal="center"/>
    </xf>
    <xf numFmtId="2" fontId="30" fillId="0" borderId="0" xfId="7" applyNumberFormat="1" applyFont="1"/>
    <xf numFmtId="2" fontId="29" fillId="0" borderId="0" xfId="11" applyNumberFormat="1" applyFont="1"/>
    <xf numFmtId="0" fontId="29" fillId="0" borderId="0" xfId="11" applyFont="1"/>
    <xf numFmtId="0" fontId="29" fillId="12" borderId="44" xfId="11" applyFont="1" applyFill="1" applyBorder="1" applyAlignment="1">
      <alignment horizontal="center"/>
    </xf>
    <xf numFmtId="2" fontId="29" fillId="12" borderId="44" xfId="11" applyNumberFormat="1" applyFont="1" applyFill="1" applyBorder="1" applyAlignment="1">
      <alignment horizontal="center"/>
    </xf>
    <xf numFmtId="0" fontId="29" fillId="0" borderId="44" xfId="11" applyFont="1" applyBorder="1"/>
    <xf numFmtId="2" fontId="29" fillId="0" borderId="44" xfId="11" applyNumberFormat="1" applyFont="1" applyBorder="1"/>
    <xf numFmtId="9" fontId="29" fillId="0" borderId="44" xfId="3" applyFont="1" applyBorder="1"/>
    <xf numFmtId="9" fontId="27" fillId="0" borderId="0" xfId="17" applyFont="1"/>
    <xf numFmtId="0" fontId="27" fillId="0" borderId="0" xfId="18" applyFont="1"/>
    <xf numFmtId="0" fontId="31" fillId="10" borderId="45" xfId="18" applyFont="1" applyFill="1" applyBorder="1" applyAlignment="1">
      <alignment horizontal="center" vertical="center" wrapText="1"/>
    </xf>
    <xf numFmtId="0" fontId="31" fillId="10" borderId="46" xfId="18" applyFont="1" applyFill="1" applyBorder="1" applyAlignment="1">
      <alignment horizontal="center" vertical="center" wrapText="1"/>
    </xf>
    <xf numFmtId="0" fontId="27" fillId="0" borderId="0" xfId="18" applyFont="1" applyAlignment="1">
      <alignment vertical="center" wrapText="1"/>
    </xf>
    <xf numFmtId="0" fontId="31" fillId="13" borderId="47" xfId="18" applyFont="1" applyFill="1" applyBorder="1" applyAlignment="1">
      <alignment horizontal="center" vertical="center" wrapText="1"/>
    </xf>
    <xf numFmtId="0" fontId="31" fillId="13" borderId="48" xfId="18" applyFont="1" applyFill="1" applyBorder="1" applyAlignment="1">
      <alignment horizontal="center" vertical="center" wrapText="1"/>
    </xf>
    <xf numFmtId="0" fontId="32" fillId="0" borderId="15" xfId="18" applyFont="1" applyBorder="1"/>
    <xf numFmtId="0" fontId="32" fillId="0" borderId="15" xfId="18" quotePrefix="1" applyFont="1" applyBorder="1"/>
    <xf numFmtId="9" fontId="32" fillId="0" borderId="15" xfId="17" quotePrefix="1" applyFont="1" applyBorder="1"/>
    <xf numFmtId="0" fontId="32" fillId="0" borderId="49" xfId="18" applyFont="1" applyBorder="1"/>
    <xf numFmtId="0" fontId="32" fillId="0" borderId="50" xfId="18" applyFont="1" applyBorder="1"/>
    <xf numFmtId="9" fontId="32" fillId="0" borderId="50" xfId="17" applyFont="1" applyBorder="1"/>
    <xf numFmtId="0" fontId="32" fillId="0" borderId="44" xfId="18" applyFont="1" applyBorder="1"/>
    <xf numFmtId="0" fontId="27" fillId="0" borderId="44" xfId="18" applyFont="1" applyBorder="1"/>
    <xf numFmtId="0" fontId="27" fillId="0" borderId="0" xfId="0" applyFont="1" applyAlignment="1">
      <alignment horizontal="center" vertical="center"/>
    </xf>
    <xf numFmtId="0" fontId="31" fillId="14" borderId="83" xfId="18" applyFont="1" applyFill="1" applyBorder="1" applyAlignment="1">
      <alignment horizontal="center" vertical="center" wrapText="1"/>
    </xf>
    <xf numFmtId="0" fontId="31" fillId="14" borderId="84" xfId="18" applyFont="1" applyFill="1" applyBorder="1" applyAlignment="1">
      <alignment horizontal="center" vertical="center" wrapText="1"/>
    </xf>
    <xf numFmtId="0" fontId="32" fillId="0" borderId="85" xfId="18" applyFont="1" applyBorder="1"/>
    <xf numFmtId="9" fontId="32" fillId="0" borderId="85" xfId="17" applyFont="1" applyBorder="1"/>
    <xf numFmtId="0" fontId="0" fillId="12" borderId="72" xfId="0" applyFill="1" applyBorder="1"/>
    <xf numFmtId="0" fontId="12" fillId="0" borderId="22" xfId="11" applyFont="1" applyFill="1" applyBorder="1" applyAlignment="1">
      <alignment horizontal="center" vertical="center"/>
    </xf>
    <xf numFmtId="0" fontId="12" fillId="0" borderId="26" xfId="11" applyFont="1" applyFill="1" applyBorder="1" applyAlignment="1">
      <alignment horizontal="center" vertical="center"/>
    </xf>
    <xf numFmtId="0" fontId="12" fillId="0" borderId="23" xfId="11" applyFont="1" applyFill="1" applyBorder="1" applyAlignment="1">
      <alignment horizontal="center" vertical="center" textRotation="90"/>
    </xf>
    <xf numFmtId="0" fontId="12" fillId="0" borderId="27" xfId="11" applyFont="1" applyFill="1" applyBorder="1" applyAlignment="1">
      <alignment horizontal="center" vertical="center" textRotation="90"/>
    </xf>
    <xf numFmtId="0" fontId="1" fillId="0" borderId="24" xfId="11" applyBorder="1" applyAlignment="1">
      <alignment horizontal="center"/>
    </xf>
    <xf numFmtId="0" fontId="1" fillId="0" borderId="25" xfId="11" applyBorder="1" applyAlignment="1">
      <alignment horizontal="center"/>
    </xf>
    <xf numFmtId="0" fontId="27" fillId="0" borderId="80" xfId="0" applyFont="1" applyBorder="1" applyAlignment="1">
      <alignment horizontal="center"/>
    </xf>
    <xf numFmtId="0" fontId="27" fillId="0" borderId="81" xfId="0" applyFont="1" applyBorder="1" applyAlignment="1">
      <alignment horizontal="center"/>
    </xf>
    <xf numFmtId="0" fontId="35" fillId="6" borderId="18" xfId="13" applyFont="1" applyBorder="1" applyAlignment="1">
      <alignment horizontal="center" vertical="center"/>
    </xf>
    <xf numFmtId="0" fontId="35" fillId="6" borderId="0" xfId="13" applyFont="1" applyBorder="1" applyAlignment="1">
      <alignment horizontal="center" vertical="center"/>
    </xf>
    <xf numFmtId="0" fontId="19" fillId="0" borderId="58" xfId="4" applyFont="1" applyBorder="1" applyAlignment="1">
      <alignment horizontal="center"/>
    </xf>
    <xf numFmtId="0" fontId="4" fillId="0" borderId="0" xfId="5" applyBorder="1" applyAlignment="1">
      <alignment horizontal="center"/>
    </xf>
  </cellXfs>
  <cellStyles count="22">
    <cellStyle name="20% — акцент4 2" xfId="14"/>
    <cellStyle name="20% — акцент5 2" xfId="19"/>
    <cellStyle name="20% - Акцент6 2" xfId="13"/>
    <cellStyle name="Акцент6" xfId="10" builtinId="49"/>
    <cellStyle name="Денежный" xfId="2" builtinId="4"/>
    <cellStyle name="Заголовок 1" xfId="5" builtinId="16"/>
    <cellStyle name="Заголовок 3" xfId="6" builtinId="18"/>
    <cellStyle name="Заголовок 4" xfId="7" builtinId="19"/>
    <cellStyle name="Итог" xfId="9" builtinId="25"/>
    <cellStyle name="Название" xfId="4" builtinId="15"/>
    <cellStyle name="Обычный" xfId="0" builtinId="0"/>
    <cellStyle name="Обычный 2" xfId="11"/>
    <cellStyle name="Обычный 2 4" xfId="21"/>
    <cellStyle name="Обычный 3" xfId="15"/>
    <cellStyle name="Обычный 3 2" xfId="20"/>
    <cellStyle name="Обычный 4" xfId="18"/>
    <cellStyle name="Обычный_3" xfId="12"/>
    <cellStyle name="Обычный_Функции ЕСЛИ и ВПР" xfId="16"/>
    <cellStyle name="Плохой" xfId="8" builtinId="27"/>
    <cellStyle name="Процентный" xfId="3" builtinId="5"/>
    <cellStyle name="Процентный 2" xfId="17"/>
    <cellStyle name="Финансовый" xfId="1" builtinId="3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border outline="0">
        <top style="thin">
          <color indexed="18"/>
        </top>
        <bottom style="thin">
          <color theme="8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Calibri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numFmt numFmtId="167" formatCode="_-* #,##0&quot;р.&quot;_-;\-* #,##0&quot;р.&quot;_-;_-* &quot;-&quot;??&quot;р.&quot;_-;_-@_-"/>
      <alignment horizontal="general" vertical="bottom" textRotation="0" wrapText="0" indent="0" justifyLastLine="0" shrinkToFit="0" readingOrder="0"/>
      <border diagonalUp="0" diagonalDown="0" outline="0">
        <left style="thin">
          <color indexed="18"/>
        </left>
        <right/>
        <top style="thin">
          <color indexed="18"/>
        </top>
        <bottom style="thin">
          <color indexed="1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18"/>
        </left>
        <right style="thin">
          <color indexed="18"/>
        </right>
        <top style="thin">
          <color indexed="18"/>
        </top>
        <bottom style="thin">
          <color indexed="1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18"/>
        </left>
        <right style="thin">
          <color indexed="18"/>
        </right>
        <top style="thin">
          <color indexed="18"/>
        </top>
        <bottom style="thin">
          <color indexed="1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18"/>
        </right>
        <top style="thin">
          <color indexed="18"/>
        </top>
        <bottom style="thin">
          <color indexed="18"/>
        </bottom>
      </border>
    </dxf>
    <dxf>
      <border outline="0">
        <top style="thin">
          <color indexed="18"/>
        </top>
      </border>
    </dxf>
    <dxf>
      <border outline="0">
        <left style="thick">
          <color indexed="18"/>
        </left>
        <right style="thick">
          <color indexed="18"/>
        </right>
        <top style="thick">
          <color indexed="18"/>
        </top>
        <bottom style="thick">
          <color indexed="18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</dxf>
    <dxf>
      <border outline="0">
        <bottom style="thin">
          <color indexed="1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Calibri"/>
        <scheme val="minor"/>
      </font>
      <numFmt numFmtId="0" formatCode="General"/>
      <fill>
        <patternFill patternType="solid">
          <fgColor indexed="64"/>
          <bgColor indexed="1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18"/>
        </left>
        <right style="thin">
          <color indexed="18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powerPivotData" Target="model/item.data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114300</xdr:rowOff>
    </xdr:from>
    <xdr:to>
      <xdr:col>4</xdr:col>
      <xdr:colOff>695325</xdr:colOff>
      <xdr:row>25</xdr:row>
      <xdr:rowOff>133350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/>
      </xdr:nvSpPr>
      <xdr:spPr>
        <a:xfrm>
          <a:off x="1266825" y="2638425"/>
          <a:ext cx="3962400" cy="21240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/>
            <a:t> 1.</a:t>
          </a:r>
          <a:r>
            <a:rPr lang="ru-RU" sz="1100" baseline="0"/>
            <a:t> Обозначить Бонус "ДА" при выполнении условий стоимость заказа не менее 999</a:t>
          </a:r>
          <a:r>
            <a:rPr lang="en-US" sz="1100" baseline="0"/>
            <a:t>$</a:t>
          </a:r>
          <a:r>
            <a:rPr lang="ru-RU" sz="1100" baseline="0"/>
            <a:t> и количество наименований в заказе более 8</a:t>
          </a:r>
        </a:p>
        <a:p>
          <a:pPr algn="l"/>
          <a:r>
            <a:rPr lang="ru-RU" sz="1100" baseline="0"/>
            <a:t>2. Выдать Купон на скидку "+" тем, у кого стоимость заказе не менее 1000</a:t>
          </a:r>
          <a:r>
            <a:rPr lang="en-US" sz="1100" baseline="0"/>
            <a:t>$</a:t>
          </a:r>
          <a:r>
            <a:rPr lang="ru-RU" sz="1100" baseline="0"/>
            <a:t> или количество наименований в заказе не менее 10</a:t>
          </a:r>
        </a:p>
        <a:p>
          <a:pPr algn="l"/>
          <a:r>
            <a:rPr lang="ru-RU" sz="1100" baseline="0"/>
            <a:t>3. Определить Скидку в </a:t>
          </a:r>
          <a:r>
            <a:rPr lang="en-US" sz="1100" baseline="0"/>
            <a:t>$ </a:t>
          </a:r>
          <a:r>
            <a:rPr lang="ru-RU" sz="1100" baseline="0"/>
            <a:t> как процент от стоимости заказа, исходя из условий.</a:t>
          </a:r>
        </a:p>
        <a:p>
          <a:pPr algn="l"/>
          <a:r>
            <a:rPr lang="ru-RU" sz="1100" baseline="0"/>
            <a:t>15% -  менее 900</a:t>
          </a:r>
          <a:r>
            <a:rPr lang="en-US" sz="1100" baseline="0"/>
            <a:t>$</a:t>
          </a:r>
        </a:p>
        <a:p>
          <a:pPr algn="l"/>
          <a:r>
            <a:rPr lang="en-US" sz="1100" baseline="0"/>
            <a:t>18% - </a:t>
          </a:r>
          <a:r>
            <a:rPr lang="ru-RU" sz="1100" baseline="0"/>
            <a:t>от 900 до 1200 </a:t>
          </a:r>
          <a:r>
            <a:rPr lang="en-US" sz="1100" baseline="0"/>
            <a:t>$</a:t>
          </a:r>
        </a:p>
        <a:p>
          <a:pPr algn="l"/>
          <a:r>
            <a:rPr lang="en-US" sz="1100" baseline="0"/>
            <a:t>21% - </a:t>
          </a:r>
          <a:r>
            <a:rPr lang="ru-RU" sz="1100" baseline="0"/>
            <a:t>свыше 1200 </a:t>
          </a:r>
          <a:r>
            <a:rPr lang="en-US" sz="1100" baseline="0"/>
            <a:t>$</a:t>
          </a: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9525</xdr:rowOff>
    </xdr:from>
    <xdr:to>
      <xdr:col>17</xdr:col>
      <xdr:colOff>124409</xdr:colOff>
      <xdr:row>26</xdr:row>
      <xdr:rowOff>124373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9525"/>
          <a:ext cx="4182059" cy="392484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152400</xdr:rowOff>
    </xdr:from>
    <xdr:to>
      <xdr:col>24</xdr:col>
      <xdr:colOff>372754</xdr:colOff>
      <xdr:row>69</xdr:row>
      <xdr:rowOff>77104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5525" y="4200525"/>
          <a:ext cx="9164329" cy="64779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584200</xdr:colOff>
      <xdr:row>2</xdr:row>
      <xdr:rowOff>19050</xdr:rowOff>
    </xdr:from>
    <xdr:to>
      <xdr:col>14</xdr:col>
      <xdr:colOff>409</xdr:colOff>
      <xdr:row>24</xdr:row>
      <xdr:rowOff>76382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B0110030-9A3F-4A4A-9EDF-17D635B27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200" y="336550"/>
          <a:ext cx="7950609" cy="3549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180975</xdr:rowOff>
    </xdr:from>
    <xdr:to>
      <xdr:col>5</xdr:col>
      <xdr:colOff>666750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1476375" y="4381500"/>
          <a:ext cx="2505075" cy="10763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 ячейке </a:t>
          </a:r>
          <a:r>
            <a:rPr lang="ru-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К4</a:t>
          </a:r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 постройте инфокривую в виде графика, показывающего динамику курса литовского лита. Копированием создайте инфокривые для курсов других валют</a:t>
          </a:r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467157</xdr:colOff>
      <xdr:row>0</xdr:row>
      <xdr:rowOff>19050</xdr:rowOff>
    </xdr:from>
    <xdr:to>
      <xdr:col>16</xdr:col>
      <xdr:colOff>468387</xdr:colOff>
      <xdr:row>17</xdr:row>
      <xdr:rowOff>128423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2282" y="19050"/>
          <a:ext cx="4268430" cy="33478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NIMATE/SECURE/Production/2D_REPNew2.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IMATE\SECURE\Production\2D_REPNew2.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c.msk.ru\ANIMATE\SECURE\Production\2D_REPNew2.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PERS\CAPRAPSCH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c.msk.ru\CAPERS\CAPRAPSCHE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t-dc.local\CORE_dfs\CD-&#1092;&#1072;&#1081;&#1083;&#1099;\&#1050;&#1085;&#1080;&#1075;&#1080;%20Excel%202010\&#1043;&#1083;&#1072;&#1074;&#1072;%208\&#1052;&#1072;&#1090;&#1077;&#1084;&#1072;&#1090;&#1080;&#1095;&#1077;&#1089;&#1082;&#1080;&#1077;%20&#1092;&#1091;&#1085;&#1082;&#1094;&#1080;&#1080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docs\isavchen\Documents\Excel%20level%202\&#1042;&#1099;&#1095;&#1080;&#1089;&#1083;&#1077;&#1085;&#1080;&#1103;%20(&#1088;&#1072;&#1079;&#1083;&#1080;&#1095;&#1085;&#1099;&#1077;%20&#1090;&#1080;&#1087;&#1099;%20&#1089;&#1089;&#1099;&#1083;&#1086;&#1082;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docs\isavchen\Documents\Excel%20level%202\&#1042;&#1099;&#1095;&#1080;&#1089;&#1083;&#1077;&#1085;&#1080;&#1103;%20(&#1088;&#1072;&#1079;&#1083;&#1080;&#1095;&#1085;&#1099;&#1077;%20&#1090;&#1080;&#1087;&#1099;%20&#1089;&#1089;&#1099;&#1083;&#1086;&#1082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_&#1042;&#1099;&#1095;&#1080;&#1089;&#1083;&#1077;&#1085;&#1080;&#1103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t-dc.local\CORE_dfs\&#1055;&#1088;&#1080;&#1084;&#1077;&#1088;&#1099;%20&#1082;%20&#1082;&#1085;&#1080;&#1075;&#1077;%20(&#1092;&#1072;&#1081;&#1083;&#1099;%20Excel%202010)\&#1047;&#1072;&#1076;&#1072;&#1085;&#1080;&#1103;%20&#1080;%20&#1086;&#1090;&#1074;&#1077;&#1090;&#1099;\&#1043;&#1083;&#1072;&#1074;&#1072;%20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%20&#1079;&#1072;&#1076;&#1072;&#1085;&#1080;&#1103;\&#1092;&#1091;&#1085;&#1082;&#1094;&#1080;&#1080;%20&#1077;&#1089;&#1083;&#1080;,%20&#1074;&#108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>
            <v>0</v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>
            <v>0</v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>
            <v>0</v>
          </cell>
          <cell r="U11">
            <v>0</v>
          </cell>
          <cell r="V11">
            <v>0</v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>
            <v>0</v>
          </cell>
          <cell r="U12">
            <v>0</v>
          </cell>
          <cell r="V12">
            <v>0</v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>
            <v>0</v>
          </cell>
          <cell r="U13">
            <v>0</v>
          </cell>
          <cell r="V13">
            <v>0</v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>
            <v>0</v>
          </cell>
          <cell r="U22">
            <v>0</v>
          </cell>
          <cell r="V22">
            <v>0</v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>
            <v>0</v>
          </cell>
          <cell r="U23">
            <v>0</v>
          </cell>
          <cell r="V23">
            <v>0</v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>
            <v>0</v>
          </cell>
          <cell r="U24">
            <v>0</v>
          </cell>
          <cell r="V24">
            <v>0</v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>
            <v>0</v>
          </cell>
          <cell r="U25">
            <v>0</v>
          </cell>
          <cell r="V25">
            <v>0</v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>
            <v>0</v>
          </cell>
          <cell r="U34">
            <v>0</v>
          </cell>
          <cell r="V34">
            <v>0</v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>
            <v>0</v>
          </cell>
          <cell r="U35">
            <v>0</v>
          </cell>
          <cell r="V35">
            <v>0</v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>
            <v>0</v>
          </cell>
          <cell r="U36">
            <v>0</v>
          </cell>
          <cell r="V36">
            <v>0</v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>
            <v>0</v>
          </cell>
          <cell r="U37">
            <v>0</v>
          </cell>
          <cell r="V37">
            <v>0</v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>
            <v>0</v>
          </cell>
          <cell r="U46">
            <v>0</v>
          </cell>
          <cell r="V46">
            <v>0</v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>
            <v>0</v>
          </cell>
          <cell r="U47">
            <v>0</v>
          </cell>
          <cell r="V47">
            <v>0</v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>
            <v>0</v>
          </cell>
          <cell r="U48">
            <v>0</v>
          </cell>
          <cell r="V48">
            <v>0</v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>
            <v>0</v>
          </cell>
          <cell r="U58">
            <v>0</v>
          </cell>
          <cell r="V58">
            <v>0</v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>
            <v>0</v>
          </cell>
          <cell r="U59">
            <v>0</v>
          </cell>
          <cell r="V59">
            <v>0</v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>
            <v>0</v>
          </cell>
          <cell r="U60">
            <v>0</v>
          </cell>
          <cell r="V60">
            <v>0</v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>
            <v>0</v>
          </cell>
          <cell r="U70">
            <v>0</v>
          </cell>
          <cell r="V70">
            <v>0</v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>
            <v>0</v>
          </cell>
          <cell r="U71">
            <v>0</v>
          </cell>
          <cell r="V71">
            <v>0</v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>
            <v>0</v>
          </cell>
          <cell r="U72">
            <v>0</v>
          </cell>
          <cell r="V72">
            <v>0</v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>
            <v>0</v>
          </cell>
          <cell r="U73">
            <v>0</v>
          </cell>
          <cell r="V73">
            <v>0</v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>
            <v>0</v>
          </cell>
          <cell r="U82">
            <v>0</v>
          </cell>
          <cell r="V82">
            <v>0</v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>
            <v>0</v>
          </cell>
          <cell r="U83">
            <v>0</v>
          </cell>
          <cell r="V83">
            <v>0</v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>
            <v>0</v>
          </cell>
          <cell r="U84">
            <v>0</v>
          </cell>
          <cell r="V84">
            <v>0</v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>
            <v>0</v>
          </cell>
          <cell r="U85">
            <v>0</v>
          </cell>
          <cell r="V85">
            <v>0</v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>
            <v>0</v>
          </cell>
          <cell r="U86">
            <v>0</v>
          </cell>
          <cell r="V86">
            <v>0</v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>
            <v>0</v>
          </cell>
          <cell r="U94">
            <v>0</v>
          </cell>
          <cell r="V94">
            <v>0</v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>
            <v>0</v>
          </cell>
          <cell r="U95">
            <v>0</v>
          </cell>
          <cell r="V95">
            <v>0</v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>
            <v>0</v>
          </cell>
          <cell r="U96">
            <v>0</v>
          </cell>
          <cell r="V96">
            <v>0</v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>
            <v>0</v>
          </cell>
          <cell r="U97">
            <v>0</v>
          </cell>
          <cell r="V97">
            <v>0</v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>
            <v>0</v>
          </cell>
          <cell r="U106">
            <v>0</v>
          </cell>
          <cell r="V106">
            <v>0</v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>
            <v>0</v>
          </cell>
          <cell r="U107">
            <v>0</v>
          </cell>
          <cell r="V107">
            <v>0</v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>
            <v>0</v>
          </cell>
          <cell r="U108">
            <v>0</v>
          </cell>
          <cell r="V108">
            <v>0</v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>
            <v>0</v>
          </cell>
          <cell r="U109">
            <v>0</v>
          </cell>
          <cell r="V109">
            <v>0</v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>
            <v>0</v>
          </cell>
          <cell r="U110">
            <v>0</v>
          </cell>
          <cell r="V110">
            <v>0</v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>
            <v>0</v>
          </cell>
          <cell r="U118">
            <v>0</v>
          </cell>
          <cell r="V118">
            <v>0</v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>
            <v>0</v>
          </cell>
          <cell r="U119">
            <v>0</v>
          </cell>
          <cell r="V119">
            <v>0</v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>
            <v>0</v>
          </cell>
          <cell r="U120">
            <v>0</v>
          </cell>
          <cell r="V120">
            <v>0</v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>
            <v>0</v>
          </cell>
          <cell r="U121">
            <v>0</v>
          </cell>
          <cell r="V121">
            <v>0</v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>
            <v>0</v>
          </cell>
          <cell r="U148">
            <v>0</v>
          </cell>
          <cell r="V148">
            <v>0</v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>
            <v>0</v>
          </cell>
          <cell r="U149">
            <v>0</v>
          </cell>
          <cell r="V149">
            <v>0</v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>
            <v>0</v>
          </cell>
          <cell r="U158">
            <v>0</v>
          </cell>
          <cell r="V158">
            <v>0</v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>
            <v>0</v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>
            <v>0</v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>
            <v>0</v>
          </cell>
          <cell r="U11">
            <v>0</v>
          </cell>
          <cell r="V11">
            <v>0</v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>
            <v>0</v>
          </cell>
          <cell r="U12">
            <v>0</v>
          </cell>
          <cell r="V12">
            <v>0</v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>
            <v>0</v>
          </cell>
          <cell r="U13">
            <v>0</v>
          </cell>
          <cell r="V13">
            <v>0</v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>
            <v>0</v>
          </cell>
          <cell r="U22">
            <v>0</v>
          </cell>
          <cell r="V22">
            <v>0</v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>
            <v>0</v>
          </cell>
          <cell r="U23">
            <v>0</v>
          </cell>
          <cell r="V23">
            <v>0</v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>
            <v>0</v>
          </cell>
          <cell r="U24">
            <v>0</v>
          </cell>
          <cell r="V24">
            <v>0</v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>
            <v>0</v>
          </cell>
          <cell r="U25">
            <v>0</v>
          </cell>
          <cell r="V25">
            <v>0</v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>
            <v>0</v>
          </cell>
          <cell r="U34">
            <v>0</v>
          </cell>
          <cell r="V34">
            <v>0</v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>
            <v>0</v>
          </cell>
          <cell r="U35">
            <v>0</v>
          </cell>
          <cell r="V35">
            <v>0</v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>
            <v>0</v>
          </cell>
          <cell r="U36">
            <v>0</v>
          </cell>
          <cell r="V36">
            <v>0</v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>
            <v>0</v>
          </cell>
          <cell r="U37">
            <v>0</v>
          </cell>
          <cell r="V37">
            <v>0</v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>
            <v>0</v>
          </cell>
          <cell r="U46">
            <v>0</v>
          </cell>
          <cell r="V46">
            <v>0</v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>
            <v>0</v>
          </cell>
          <cell r="U47">
            <v>0</v>
          </cell>
          <cell r="V47">
            <v>0</v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>
            <v>0</v>
          </cell>
          <cell r="U48">
            <v>0</v>
          </cell>
          <cell r="V48">
            <v>0</v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>
            <v>0</v>
          </cell>
          <cell r="U58">
            <v>0</v>
          </cell>
          <cell r="V58">
            <v>0</v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>
            <v>0</v>
          </cell>
          <cell r="U59">
            <v>0</v>
          </cell>
          <cell r="V59">
            <v>0</v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>
            <v>0</v>
          </cell>
          <cell r="U60">
            <v>0</v>
          </cell>
          <cell r="V60">
            <v>0</v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>
            <v>0</v>
          </cell>
          <cell r="U70">
            <v>0</v>
          </cell>
          <cell r="V70">
            <v>0</v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>
            <v>0</v>
          </cell>
          <cell r="U71">
            <v>0</v>
          </cell>
          <cell r="V71">
            <v>0</v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>
            <v>0</v>
          </cell>
          <cell r="U72">
            <v>0</v>
          </cell>
          <cell r="V72">
            <v>0</v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>
            <v>0</v>
          </cell>
          <cell r="U73">
            <v>0</v>
          </cell>
          <cell r="V73">
            <v>0</v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>
            <v>0</v>
          </cell>
          <cell r="U82">
            <v>0</v>
          </cell>
          <cell r="V82">
            <v>0</v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>
            <v>0</v>
          </cell>
          <cell r="U83">
            <v>0</v>
          </cell>
          <cell r="V83">
            <v>0</v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>
            <v>0</v>
          </cell>
          <cell r="U84">
            <v>0</v>
          </cell>
          <cell r="V84">
            <v>0</v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>
            <v>0</v>
          </cell>
          <cell r="U85">
            <v>0</v>
          </cell>
          <cell r="V85">
            <v>0</v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>
            <v>0</v>
          </cell>
          <cell r="U86">
            <v>0</v>
          </cell>
          <cell r="V86">
            <v>0</v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>
            <v>0</v>
          </cell>
          <cell r="U94">
            <v>0</v>
          </cell>
          <cell r="V94">
            <v>0</v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>
            <v>0</v>
          </cell>
          <cell r="U95">
            <v>0</v>
          </cell>
          <cell r="V95">
            <v>0</v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>
            <v>0</v>
          </cell>
          <cell r="U96">
            <v>0</v>
          </cell>
          <cell r="V96">
            <v>0</v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>
            <v>0</v>
          </cell>
          <cell r="U97">
            <v>0</v>
          </cell>
          <cell r="V97">
            <v>0</v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>
            <v>0</v>
          </cell>
          <cell r="U106">
            <v>0</v>
          </cell>
          <cell r="V106">
            <v>0</v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>
            <v>0</v>
          </cell>
          <cell r="U107">
            <v>0</v>
          </cell>
          <cell r="V107">
            <v>0</v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>
            <v>0</v>
          </cell>
          <cell r="U108">
            <v>0</v>
          </cell>
          <cell r="V108">
            <v>0</v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>
            <v>0</v>
          </cell>
          <cell r="U109">
            <v>0</v>
          </cell>
          <cell r="V109">
            <v>0</v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>
            <v>0</v>
          </cell>
          <cell r="U110">
            <v>0</v>
          </cell>
          <cell r="V110">
            <v>0</v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>
            <v>0</v>
          </cell>
          <cell r="U118">
            <v>0</v>
          </cell>
          <cell r="V118">
            <v>0</v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>
            <v>0</v>
          </cell>
          <cell r="U119">
            <v>0</v>
          </cell>
          <cell r="V119">
            <v>0</v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>
            <v>0</v>
          </cell>
          <cell r="U120">
            <v>0</v>
          </cell>
          <cell r="V120">
            <v>0</v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>
            <v>0</v>
          </cell>
          <cell r="U121">
            <v>0</v>
          </cell>
          <cell r="V121">
            <v>0</v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>
            <v>0</v>
          </cell>
          <cell r="U148">
            <v>0</v>
          </cell>
          <cell r="V148">
            <v>0</v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>
            <v>0</v>
          </cell>
          <cell r="U149">
            <v>0</v>
          </cell>
          <cell r="V149">
            <v>0</v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>
            <v>0</v>
          </cell>
          <cell r="U158">
            <v>0</v>
          </cell>
          <cell r="V158">
            <v>0</v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>
            <v>0</v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>
            <v>0</v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>
            <v>0</v>
          </cell>
          <cell r="U11">
            <v>0</v>
          </cell>
          <cell r="V11">
            <v>0</v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>
            <v>0</v>
          </cell>
          <cell r="U12">
            <v>0</v>
          </cell>
          <cell r="V12">
            <v>0</v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>
            <v>0</v>
          </cell>
          <cell r="U13">
            <v>0</v>
          </cell>
          <cell r="V13">
            <v>0</v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>
            <v>0</v>
          </cell>
          <cell r="U22">
            <v>0</v>
          </cell>
          <cell r="V22">
            <v>0</v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>
            <v>0</v>
          </cell>
          <cell r="U23">
            <v>0</v>
          </cell>
          <cell r="V23">
            <v>0</v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>
            <v>0</v>
          </cell>
          <cell r="U24">
            <v>0</v>
          </cell>
          <cell r="V24">
            <v>0</v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>
            <v>0</v>
          </cell>
          <cell r="U25">
            <v>0</v>
          </cell>
          <cell r="V25">
            <v>0</v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>
            <v>0</v>
          </cell>
          <cell r="U34">
            <v>0</v>
          </cell>
          <cell r="V34">
            <v>0</v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>
            <v>0</v>
          </cell>
          <cell r="U35">
            <v>0</v>
          </cell>
          <cell r="V35">
            <v>0</v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>
            <v>0</v>
          </cell>
          <cell r="U36">
            <v>0</v>
          </cell>
          <cell r="V36">
            <v>0</v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>
            <v>0</v>
          </cell>
          <cell r="U37">
            <v>0</v>
          </cell>
          <cell r="V37">
            <v>0</v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>
            <v>0</v>
          </cell>
          <cell r="U46">
            <v>0</v>
          </cell>
          <cell r="V46">
            <v>0</v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>
            <v>0</v>
          </cell>
          <cell r="U47">
            <v>0</v>
          </cell>
          <cell r="V47">
            <v>0</v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>
            <v>0</v>
          </cell>
          <cell r="U48">
            <v>0</v>
          </cell>
          <cell r="V48">
            <v>0</v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>
            <v>0</v>
          </cell>
          <cell r="U58">
            <v>0</v>
          </cell>
          <cell r="V58">
            <v>0</v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>
            <v>0</v>
          </cell>
          <cell r="U59">
            <v>0</v>
          </cell>
          <cell r="V59">
            <v>0</v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>
            <v>0</v>
          </cell>
          <cell r="U60">
            <v>0</v>
          </cell>
          <cell r="V60">
            <v>0</v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>
            <v>0</v>
          </cell>
          <cell r="U70">
            <v>0</v>
          </cell>
          <cell r="V70">
            <v>0</v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>
            <v>0</v>
          </cell>
          <cell r="U71">
            <v>0</v>
          </cell>
          <cell r="V71">
            <v>0</v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>
            <v>0</v>
          </cell>
          <cell r="U72">
            <v>0</v>
          </cell>
          <cell r="V72">
            <v>0</v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>
            <v>0</v>
          </cell>
          <cell r="U73">
            <v>0</v>
          </cell>
          <cell r="V73">
            <v>0</v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>
            <v>0</v>
          </cell>
          <cell r="U82">
            <v>0</v>
          </cell>
          <cell r="V82">
            <v>0</v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>
            <v>0</v>
          </cell>
          <cell r="U83">
            <v>0</v>
          </cell>
          <cell r="V83">
            <v>0</v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>
            <v>0</v>
          </cell>
          <cell r="U84">
            <v>0</v>
          </cell>
          <cell r="V84">
            <v>0</v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>
            <v>0</v>
          </cell>
          <cell r="U85">
            <v>0</v>
          </cell>
          <cell r="V85">
            <v>0</v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>
            <v>0</v>
          </cell>
          <cell r="U86">
            <v>0</v>
          </cell>
          <cell r="V86">
            <v>0</v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>
            <v>0</v>
          </cell>
          <cell r="U94">
            <v>0</v>
          </cell>
          <cell r="V94">
            <v>0</v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>
            <v>0</v>
          </cell>
          <cell r="U95">
            <v>0</v>
          </cell>
          <cell r="V95">
            <v>0</v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>
            <v>0</v>
          </cell>
          <cell r="U96">
            <v>0</v>
          </cell>
          <cell r="V96">
            <v>0</v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>
            <v>0</v>
          </cell>
          <cell r="U97">
            <v>0</v>
          </cell>
          <cell r="V97">
            <v>0</v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>
            <v>0</v>
          </cell>
          <cell r="U106">
            <v>0</v>
          </cell>
          <cell r="V106">
            <v>0</v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>
            <v>0</v>
          </cell>
          <cell r="U107">
            <v>0</v>
          </cell>
          <cell r="V107">
            <v>0</v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>
            <v>0</v>
          </cell>
          <cell r="U108">
            <v>0</v>
          </cell>
          <cell r="V108">
            <v>0</v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>
            <v>0</v>
          </cell>
          <cell r="U109">
            <v>0</v>
          </cell>
          <cell r="V109">
            <v>0</v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>
            <v>0</v>
          </cell>
          <cell r="U110">
            <v>0</v>
          </cell>
          <cell r="V110">
            <v>0</v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>
            <v>0</v>
          </cell>
          <cell r="U118">
            <v>0</v>
          </cell>
          <cell r="V118">
            <v>0</v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>
            <v>0</v>
          </cell>
          <cell r="U119">
            <v>0</v>
          </cell>
          <cell r="V119">
            <v>0</v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>
            <v>0</v>
          </cell>
          <cell r="U120">
            <v>0</v>
          </cell>
          <cell r="V120">
            <v>0</v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>
            <v>0</v>
          </cell>
          <cell r="U121">
            <v>0</v>
          </cell>
          <cell r="V121">
            <v>0</v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>
            <v>0</v>
          </cell>
          <cell r="U148">
            <v>0</v>
          </cell>
          <cell r="V148">
            <v>0</v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>
            <v>0</v>
          </cell>
          <cell r="U149">
            <v>0</v>
          </cell>
          <cell r="V149">
            <v>0</v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>
            <v>0</v>
          </cell>
          <cell r="U158">
            <v>0</v>
          </cell>
          <cell r="V158">
            <v>0</v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ЛЧИС и СЛУЧМЕжДУ"/>
      <sheetName val="РИМСКОЕ_ГРАДУСЫ_РАДИАНЫ"/>
      <sheetName val="арифметические функции"/>
      <sheetName val="СТЕПЕНЬ и EXP"/>
      <sheetName val="Логарифмические функции"/>
      <sheetName val="КОРЕНЬ и КОРЕНЬПИ"/>
      <sheetName val="НОД и НОК"/>
      <sheetName val="COS, SIN, TAN"/>
      <sheetName val="ACOS, ASIN"/>
      <sheetName val="ATAN"/>
      <sheetName val="ATAN, ATAN2"/>
      <sheetName val="решение треугольников"/>
      <sheetName val="гипер.функции"/>
      <sheetName val="Пример округления"/>
      <sheetName val="ОКРУГЛ и ОКРУГЛТ"/>
      <sheetName val="ОКРУГЛВВЕРХ и ОКРУГЛВНИЗ"/>
      <sheetName val="ОКРВВЕРХ и ОКРВНИЗ"/>
      <sheetName val="ОКРВВЕРХ_Т и ОКРВНИЗ_Т"/>
      <sheetName val="ЦЕЛОЕ и ОТБР"/>
      <sheetName val="ЧЕТН и НЕЧЕТ"/>
      <sheetName val="СЧЕТЕСЛИ и СУММЕСЛИ"/>
      <sheetName val="СЧЕТЕСЛИ-2"/>
      <sheetName val="СУММЕСЛИМН"/>
      <sheetName val="СУММПРОИЗВ"/>
      <sheetName val="СУММПРОИЗВ-2"/>
      <sheetName val="СУММКВ и СУММСУММКВ"/>
      <sheetName val="СУММРАЗНКВ и СУММКВРАЗН"/>
      <sheetName val="РЯД_СУММ"/>
      <sheetName val="Пример суммирования-2"/>
      <sheetName val="Пример суммирования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-200</v>
          </cell>
        </row>
        <row r="3">
          <cell r="A3">
            <v>-190</v>
          </cell>
        </row>
        <row r="4">
          <cell r="A4">
            <v>-180</v>
          </cell>
        </row>
        <row r="5">
          <cell r="A5">
            <v>-170</v>
          </cell>
        </row>
        <row r="6">
          <cell r="A6">
            <v>-160</v>
          </cell>
        </row>
        <row r="7">
          <cell r="A7">
            <v>-150</v>
          </cell>
        </row>
        <row r="8">
          <cell r="A8">
            <v>-140</v>
          </cell>
        </row>
        <row r="9">
          <cell r="A9">
            <v>-130</v>
          </cell>
        </row>
        <row r="10">
          <cell r="A10">
            <v>-120</v>
          </cell>
        </row>
        <row r="11">
          <cell r="A11">
            <v>-110</v>
          </cell>
        </row>
        <row r="12">
          <cell r="A12">
            <v>-100</v>
          </cell>
        </row>
        <row r="13">
          <cell r="A13">
            <v>-90</v>
          </cell>
        </row>
        <row r="14">
          <cell r="A14">
            <v>-80</v>
          </cell>
        </row>
        <row r="15">
          <cell r="A15">
            <v>-70</v>
          </cell>
        </row>
        <row r="16">
          <cell r="A16">
            <v>-60</v>
          </cell>
        </row>
        <row r="17">
          <cell r="A17">
            <v>-50</v>
          </cell>
        </row>
        <row r="18">
          <cell r="A18">
            <v>-40</v>
          </cell>
        </row>
        <row r="19">
          <cell r="A19">
            <v>-30</v>
          </cell>
        </row>
        <row r="20">
          <cell r="A20">
            <v>-20</v>
          </cell>
        </row>
        <row r="21">
          <cell r="A21">
            <v>-10</v>
          </cell>
        </row>
        <row r="22">
          <cell r="A22">
            <v>0</v>
          </cell>
        </row>
        <row r="23">
          <cell r="A23">
            <v>10</v>
          </cell>
        </row>
        <row r="24">
          <cell r="A24">
            <v>20</v>
          </cell>
        </row>
        <row r="25">
          <cell r="A25">
            <v>30</v>
          </cell>
        </row>
        <row r="26">
          <cell r="A26">
            <v>40</v>
          </cell>
        </row>
        <row r="27">
          <cell r="A27">
            <v>50</v>
          </cell>
        </row>
        <row r="28">
          <cell r="A28">
            <v>60</v>
          </cell>
        </row>
        <row r="29">
          <cell r="A29">
            <v>70</v>
          </cell>
        </row>
        <row r="30">
          <cell r="A30">
            <v>80</v>
          </cell>
        </row>
        <row r="31">
          <cell r="A31">
            <v>90</v>
          </cell>
        </row>
        <row r="32">
          <cell r="A32">
            <v>100</v>
          </cell>
        </row>
        <row r="33">
          <cell r="A33">
            <v>110</v>
          </cell>
        </row>
        <row r="34">
          <cell r="A34">
            <v>120</v>
          </cell>
        </row>
        <row r="35">
          <cell r="A35">
            <v>130</v>
          </cell>
        </row>
        <row r="36">
          <cell r="A36">
            <v>140</v>
          </cell>
        </row>
        <row r="37">
          <cell r="A37">
            <v>150</v>
          </cell>
        </row>
        <row r="38">
          <cell r="A38">
            <v>160</v>
          </cell>
        </row>
        <row r="39">
          <cell r="A39">
            <v>170</v>
          </cell>
        </row>
        <row r="40">
          <cell r="A40">
            <v>180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</row>
        <row r="2">
          <cell r="A2">
            <v>-5</v>
          </cell>
          <cell r="C2">
            <v>125</v>
          </cell>
          <cell r="D2">
            <v>1120</v>
          </cell>
        </row>
        <row r="3">
          <cell r="A3">
            <v>5</v>
          </cell>
          <cell r="B3">
            <v>-15</v>
          </cell>
          <cell r="D3">
            <v>45</v>
          </cell>
        </row>
        <row r="4">
          <cell r="A4">
            <v>12</v>
          </cell>
          <cell r="B4">
            <v>12.2</v>
          </cell>
          <cell r="C4">
            <v>2</v>
          </cell>
          <cell r="D4">
            <v>12</v>
          </cell>
        </row>
        <row r="5">
          <cell r="A5">
            <v>15</v>
          </cell>
          <cell r="B5">
            <v>0.45</v>
          </cell>
          <cell r="C5">
            <v>12</v>
          </cell>
          <cell r="D5">
            <v>4</v>
          </cell>
        </row>
        <row r="6">
          <cell r="A6">
            <v>-15</v>
          </cell>
          <cell r="B6">
            <v>0</v>
          </cell>
          <cell r="C6">
            <v>56</v>
          </cell>
          <cell r="D6">
            <v>8</v>
          </cell>
        </row>
        <row r="7">
          <cell r="A7" t="str">
            <v>текст</v>
          </cell>
          <cell r="B7">
            <v>-0.45</v>
          </cell>
          <cell r="C7">
            <v>0</v>
          </cell>
          <cell r="D7">
            <v>-4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носит и абсолют ссылки"/>
      <sheetName val="смешанные ссылки 1"/>
      <sheetName val="смешанные ссылки 2"/>
      <sheetName val="экспресс расчеты"/>
      <sheetName val="курс"/>
      <sheetName val="прайс"/>
      <sheetName val="продажи 1"/>
      <sheetName val="продажи 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2">
          <cell r="C2">
            <v>100</v>
          </cell>
          <cell r="D2">
            <v>13</v>
          </cell>
          <cell r="E2">
            <v>0.15</v>
          </cell>
          <cell r="F2">
            <v>20</v>
          </cell>
        </row>
        <row r="3">
          <cell r="C3">
            <v>80</v>
          </cell>
          <cell r="D3">
            <v>15</v>
          </cell>
          <cell r="E3">
            <v>0.15</v>
          </cell>
          <cell r="F3">
            <v>20</v>
          </cell>
        </row>
        <row r="4">
          <cell r="C4">
            <v>75</v>
          </cell>
          <cell r="D4">
            <v>30</v>
          </cell>
          <cell r="E4">
            <v>0.1</v>
          </cell>
          <cell r="F4">
            <v>30</v>
          </cell>
        </row>
        <row r="5">
          <cell r="C5">
            <v>95</v>
          </cell>
          <cell r="D5">
            <v>24</v>
          </cell>
          <cell r="E5">
            <v>0.2</v>
          </cell>
          <cell r="F5">
            <v>20</v>
          </cell>
        </row>
        <row r="6">
          <cell r="C6">
            <v>50</v>
          </cell>
          <cell r="D6">
            <v>15</v>
          </cell>
          <cell r="E6">
            <v>0.1</v>
          </cell>
          <cell r="F6">
            <v>5</v>
          </cell>
        </row>
        <row r="7">
          <cell r="C7">
            <v>45</v>
          </cell>
          <cell r="D7">
            <v>8</v>
          </cell>
          <cell r="E7">
            <v>0.1</v>
          </cell>
          <cell r="F7">
            <v>5</v>
          </cell>
        </row>
        <row r="8">
          <cell r="C8">
            <v>39</v>
          </cell>
          <cell r="D8">
            <v>9</v>
          </cell>
          <cell r="E8">
            <v>0.1</v>
          </cell>
          <cell r="F8">
            <v>5</v>
          </cell>
        </row>
        <row r="9">
          <cell r="C9">
            <v>50</v>
          </cell>
          <cell r="D9">
            <v>28</v>
          </cell>
          <cell r="E9">
            <v>0.15</v>
          </cell>
          <cell r="F9">
            <v>5</v>
          </cell>
        </row>
        <row r="10">
          <cell r="C10">
            <v>110</v>
          </cell>
          <cell r="D10">
            <v>25</v>
          </cell>
          <cell r="E10">
            <v>0.2</v>
          </cell>
          <cell r="F10">
            <v>10</v>
          </cell>
        </row>
        <row r="11">
          <cell r="C11">
            <v>85</v>
          </cell>
          <cell r="D11">
            <v>35</v>
          </cell>
          <cell r="E11">
            <v>0.2</v>
          </cell>
          <cell r="F11">
            <v>10</v>
          </cell>
        </row>
        <row r="12">
          <cell r="C12">
            <v>52</v>
          </cell>
          <cell r="D12">
            <v>10</v>
          </cell>
          <cell r="E12">
            <v>0.1</v>
          </cell>
          <cell r="F12">
            <v>10</v>
          </cell>
        </row>
        <row r="13">
          <cell r="C13">
            <v>500</v>
          </cell>
          <cell r="D13">
            <v>4</v>
          </cell>
          <cell r="E13">
            <v>0.15</v>
          </cell>
          <cell r="F13">
            <v>30</v>
          </cell>
        </row>
        <row r="14">
          <cell r="C14">
            <v>65</v>
          </cell>
          <cell r="D14">
            <v>10</v>
          </cell>
          <cell r="E14">
            <v>0.1</v>
          </cell>
          <cell r="F14">
            <v>30</v>
          </cell>
        </row>
        <row r="15">
          <cell r="C15">
            <v>1932</v>
          </cell>
          <cell r="D15">
            <v>2</v>
          </cell>
          <cell r="E15">
            <v>0.2</v>
          </cell>
          <cell r="F15">
            <v>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носит и абсолют ссылки"/>
      <sheetName val="смешанные ссылки 1"/>
      <sheetName val="смешанные ссылки 2"/>
      <sheetName val="экспресс расчеты"/>
      <sheetName val="курс"/>
      <sheetName val="прайс"/>
      <sheetName val="продажи 1"/>
      <sheetName val="продажи 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2">
          <cell r="C2">
            <v>100</v>
          </cell>
          <cell r="D2">
            <v>13</v>
          </cell>
          <cell r="E2">
            <v>0.15</v>
          </cell>
          <cell r="F2">
            <v>20</v>
          </cell>
        </row>
        <row r="3">
          <cell r="C3">
            <v>80</v>
          </cell>
          <cell r="D3">
            <v>15</v>
          </cell>
          <cell r="E3">
            <v>0.15</v>
          </cell>
          <cell r="F3">
            <v>20</v>
          </cell>
        </row>
        <row r="4">
          <cell r="C4">
            <v>75</v>
          </cell>
          <cell r="D4">
            <v>30</v>
          </cell>
          <cell r="E4">
            <v>0.1</v>
          </cell>
          <cell r="F4">
            <v>30</v>
          </cell>
        </row>
        <row r="5">
          <cell r="C5">
            <v>95</v>
          </cell>
          <cell r="D5">
            <v>24</v>
          </cell>
          <cell r="E5">
            <v>0.2</v>
          </cell>
          <cell r="F5">
            <v>20</v>
          </cell>
        </row>
        <row r="6">
          <cell r="C6">
            <v>50</v>
          </cell>
          <cell r="D6">
            <v>15</v>
          </cell>
          <cell r="E6">
            <v>0.1</v>
          </cell>
          <cell r="F6">
            <v>5</v>
          </cell>
        </row>
        <row r="7">
          <cell r="C7">
            <v>45</v>
          </cell>
          <cell r="D7">
            <v>8</v>
          </cell>
          <cell r="E7">
            <v>0.1</v>
          </cell>
          <cell r="F7">
            <v>5</v>
          </cell>
        </row>
        <row r="8">
          <cell r="C8">
            <v>39</v>
          </cell>
          <cell r="D8">
            <v>9</v>
          </cell>
          <cell r="E8">
            <v>0.1</v>
          </cell>
          <cell r="F8">
            <v>5</v>
          </cell>
        </row>
        <row r="9">
          <cell r="C9">
            <v>50</v>
          </cell>
          <cell r="D9">
            <v>28</v>
          </cell>
          <cell r="E9">
            <v>0.15</v>
          </cell>
          <cell r="F9">
            <v>5</v>
          </cell>
        </row>
        <row r="10">
          <cell r="C10">
            <v>110</v>
          </cell>
          <cell r="D10">
            <v>25</v>
          </cell>
          <cell r="E10">
            <v>0.2</v>
          </cell>
          <cell r="F10">
            <v>10</v>
          </cell>
        </row>
        <row r="11">
          <cell r="C11">
            <v>85</v>
          </cell>
          <cell r="D11">
            <v>35</v>
          </cell>
          <cell r="E11">
            <v>0.2</v>
          </cell>
          <cell r="F11">
            <v>10</v>
          </cell>
        </row>
        <row r="12">
          <cell r="C12">
            <v>52</v>
          </cell>
          <cell r="D12">
            <v>10</v>
          </cell>
          <cell r="E12">
            <v>0.1</v>
          </cell>
          <cell r="F12">
            <v>10</v>
          </cell>
        </row>
        <row r="13">
          <cell r="C13">
            <v>500</v>
          </cell>
          <cell r="D13">
            <v>4</v>
          </cell>
          <cell r="E13">
            <v>0.15</v>
          </cell>
          <cell r="F13">
            <v>30</v>
          </cell>
        </row>
        <row r="14">
          <cell r="C14">
            <v>65</v>
          </cell>
          <cell r="D14">
            <v>10</v>
          </cell>
          <cell r="E14">
            <v>0.1</v>
          </cell>
          <cell r="F14">
            <v>30</v>
          </cell>
        </row>
        <row r="15">
          <cell r="C15">
            <v>1932</v>
          </cell>
          <cell r="D15">
            <v>2</v>
          </cell>
          <cell r="E15">
            <v>0.2</v>
          </cell>
          <cell r="F15">
            <v>50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дание1"/>
      <sheetName val="Задание 2"/>
      <sheetName val="Курсы валют"/>
      <sheetName val="Задание 3"/>
      <sheetName val="Задание 4"/>
      <sheetName val="Задание 5"/>
      <sheetName val="Задание 5б"/>
      <sheetName val="Задание 6"/>
      <sheetName val="Задание 7"/>
      <sheetName val="Экспресс расчеты"/>
      <sheetName val="СУММ_МН"/>
      <sheetName val="Лист6"/>
      <sheetName val="Лист1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.6-9"/>
      <sheetName val="упр.6-10"/>
      <sheetName val="упр.6-11"/>
      <sheetName val="упр.6-12"/>
      <sheetName val="Лист1"/>
    </sheetNames>
    <sheetDataSet>
      <sheetData sheetId="0"/>
      <sheetData sheetId="1">
        <row r="3">
          <cell r="C3">
            <v>5</v>
          </cell>
          <cell r="D3">
            <v>5</v>
          </cell>
          <cell r="E3">
            <v>5</v>
          </cell>
          <cell r="F3">
            <v>4</v>
          </cell>
        </row>
        <row r="4">
          <cell r="C4">
            <v>3</v>
          </cell>
          <cell r="D4">
            <v>5</v>
          </cell>
          <cell r="E4">
            <v>4</v>
          </cell>
          <cell r="F4">
            <v>4</v>
          </cell>
        </row>
        <row r="5">
          <cell r="C5">
            <v>5</v>
          </cell>
          <cell r="D5">
            <v>5</v>
          </cell>
          <cell r="E5">
            <v>4</v>
          </cell>
          <cell r="F5">
            <v>5</v>
          </cell>
        </row>
        <row r="6">
          <cell r="C6">
            <v>5</v>
          </cell>
          <cell r="D6">
            <v>5</v>
          </cell>
          <cell r="E6">
            <v>5</v>
          </cell>
          <cell r="F6">
            <v>5</v>
          </cell>
        </row>
        <row r="7">
          <cell r="C7">
            <v>5</v>
          </cell>
          <cell r="D7">
            <v>4</v>
          </cell>
          <cell r="E7">
            <v>4</v>
          </cell>
          <cell r="F7">
            <v>4</v>
          </cell>
        </row>
        <row r="8">
          <cell r="C8">
            <v>3</v>
          </cell>
          <cell r="D8">
            <v>3</v>
          </cell>
          <cell r="E8">
            <v>4</v>
          </cell>
          <cell r="F8">
            <v>3</v>
          </cell>
        </row>
        <row r="9">
          <cell r="C9">
            <v>5</v>
          </cell>
          <cell r="D9">
            <v>4</v>
          </cell>
          <cell r="E9">
            <v>3</v>
          </cell>
          <cell r="F9">
            <v>5</v>
          </cell>
        </row>
        <row r="10">
          <cell r="C10">
            <v>4</v>
          </cell>
          <cell r="D10">
            <v>4</v>
          </cell>
          <cell r="E10">
            <v>3</v>
          </cell>
          <cell r="F10">
            <v>4</v>
          </cell>
        </row>
        <row r="11">
          <cell r="C11">
            <v>4</v>
          </cell>
          <cell r="D11">
            <v>3</v>
          </cell>
          <cell r="E11">
            <v>3</v>
          </cell>
          <cell r="F11">
            <v>3</v>
          </cell>
        </row>
        <row r="12">
          <cell r="C12">
            <v>4</v>
          </cell>
          <cell r="D12">
            <v>4</v>
          </cell>
          <cell r="E12">
            <v>4</v>
          </cell>
          <cell r="F12">
            <v>5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ЕСЛИ В ЕСЛИ 2"/>
      <sheetName val="Продажи1"/>
      <sheetName val="Продажи2"/>
    </sheetNames>
    <sheetDataSet>
      <sheetData sheetId="0" refreshError="1"/>
      <sheetData sheetId="1" refreshError="1"/>
      <sheetData sheetId="2">
        <row r="14">
          <cell r="B14" t="str">
            <v>компьютер</v>
          </cell>
          <cell r="C14">
            <v>500</v>
          </cell>
          <cell r="D14">
            <v>450</v>
          </cell>
        </row>
        <row r="15">
          <cell r="B15" t="str">
            <v>принтер</v>
          </cell>
          <cell r="C15">
            <v>300</v>
          </cell>
          <cell r="D15">
            <v>250</v>
          </cell>
        </row>
        <row r="16">
          <cell r="B16" t="str">
            <v>сканер</v>
          </cell>
          <cell r="C16">
            <v>250</v>
          </cell>
          <cell r="D16">
            <v>200</v>
          </cell>
        </row>
        <row r="17">
          <cell r="B17" t="str">
            <v>модем</v>
          </cell>
          <cell r="C17">
            <v>150</v>
          </cell>
          <cell r="D17">
            <v>100</v>
          </cell>
        </row>
      </sheetData>
    </sheetDataSet>
  </externalBook>
</externalLink>
</file>

<file path=xl/tables/table1.xml><?xml version="1.0" encoding="utf-8"?>
<table xmlns="http://schemas.openxmlformats.org/spreadsheetml/2006/main" id="1" name="Таблица1" displayName="Таблица1" ref="A1:L565" totalsRowCount="1" headerRowDxfId="48" dataDxfId="47" headerRowCellStyle="Обычный 2 4" dataCellStyle="Обычный 2 4">
  <autoFilter ref="A1:L564"/>
  <tableColumns count="12">
    <tableColumn id="1" name="Сектор" totalsRowLabel="Итог" dataDxfId="46" totalsRowDxfId="45" dataCellStyle="Обычный 2 4"/>
    <tableColumn id="2" name="Регион" dataDxfId="44" totalsRowDxfId="43" dataCellStyle="Обычный 2 4"/>
    <tableColumn id="3" name="Рынок сбыта" dataDxfId="42" totalsRowDxfId="41" dataCellStyle="Обычный 2 4"/>
    <tableColumn id="4" name="Торговый представитель" dataDxfId="40" totalsRowDxfId="39" dataCellStyle="Обычный 2 4"/>
    <tableColumn id="5" name="Товар" dataDxfId="38" totalsRowDxfId="37" dataCellStyle="Обычный 2 4"/>
    <tableColumn id="6" name="Дата заказа" dataDxfId="36" totalsRowDxfId="35" dataCellStyle="Обычный 2 4"/>
    <tableColumn id="7" name="День недели" dataDxfId="34" totalsRowDxfId="33" dataCellStyle="Обычный 2 4"/>
    <tableColumn id="8" name="Заказчик" dataDxfId="32" totalsRowDxfId="31" dataCellStyle="Обычный 2 4"/>
    <tableColumn id="9" name="Количество" dataDxfId="30" totalsRowDxfId="29" dataCellStyle="Обычный 2 4"/>
    <tableColumn id="10" name="Доход" dataDxfId="28" totalsRowDxfId="27" dataCellStyle="Обычный 2 4"/>
    <tableColumn id="11" name="Прибыль" dataDxfId="26" totalsRowDxfId="25" dataCellStyle="Обычный 2 4"/>
    <tableColumn id="12" name="Цена" totalsRowFunction="sum" dataDxfId="24" totalsRowDxfId="23" dataCellStyle="Обычный 2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3:A103" totalsRowShown="0" headerRowDxfId="22" dataDxfId="21">
  <autoFilter ref="A3:A103"/>
  <tableColumns count="1">
    <tableColumn id="1" name="Значения" dataDxfId="2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9" name="Таблица9" displayName="Таблица9" ref="A2:D35" totalsRowShown="0" headerRowDxfId="19" dataDxfId="17" headerRowBorderDxfId="18" tableBorderDxfId="16" totalsRowBorderDxfId="15" headerRowCellStyle="Обычный_3">
  <autoFilter ref="A2:D35"/>
  <tableColumns count="4">
    <tableColumn id="1" name="Регион" dataDxfId="14" dataCellStyle="Обычный_3"/>
    <tableColumn id="2" name="Квартал" dataDxfId="13" dataCellStyle="Обычный_3"/>
    <tableColumn id="3" name="Код дистрибьютора" dataDxfId="12" dataCellStyle="Обычный_3"/>
    <tableColumn id="4" name="Продажи" dataDxfId="11" dataCellStyle="Денеж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Таблица3" displayName="Таблица3" ref="A2:E88" totalsRowShown="0" headerRowDxfId="10" dataDxfId="9">
  <autoFilter ref="A2:E88"/>
  <tableColumns count="5">
    <tableColumn id="1" name="ФИО" dataDxfId="8"/>
    <tableColumn id="2" name="Пол" dataDxfId="7"/>
    <tableColumn id="3" name="Должность" dataDxfId="6"/>
    <tableColumn id="4" name="Оклад" dataDxfId="5">
      <calculatedColumnFormula>IF(C3="Менеджер",400000,IF(C3="Эксперт",95000,IF(C3="Юрист",65000,75000)))</calculatedColumnFormula>
    </tableColumn>
    <tableColumn id="5" name="Компания" dataDxfId="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Таблица_Диапазонов" displayName="Таблица_Диапазонов" ref="K3:L11" totalsRowShown="0" headerRowDxfId="3" tableBorderDxfId="2" headerRowCellStyle="Обычный 4">
  <autoFilter ref="K3:L11"/>
  <tableColumns count="2">
    <tableColumn id="1" name="Количество от" dataDxfId="1" dataCellStyle="Обычный 4"/>
    <tableColumn id="2" name="Скидка" dataDxfId="0" dataCellStyle="Процентный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5"/>
  <sheetViews>
    <sheetView zoomScale="90" zoomScaleNormal="90" workbookViewId="0">
      <selection activeCell="I2" sqref="I2"/>
    </sheetView>
  </sheetViews>
  <sheetFormatPr defaultColWidth="9.08984375" defaultRowHeight="14.5" x14ac:dyDescent="0.35"/>
  <cols>
    <col min="1" max="1" width="19.453125" style="73" customWidth="1"/>
    <col min="2" max="2" width="17.6328125" style="73" customWidth="1"/>
    <col min="3" max="3" width="22.6328125" style="73" customWidth="1"/>
    <col min="4" max="4" width="27" style="73" customWidth="1"/>
    <col min="5" max="5" width="12.54296875" style="73" customWidth="1"/>
    <col min="6" max="6" width="14.54296875" style="73" customWidth="1"/>
    <col min="7" max="7" width="15.453125" style="73" customWidth="1"/>
    <col min="8" max="8" width="16.6328125" style="73" bestFit="1" customWidth="1"/>
    <col min="9" max="9" width="14.08984375" style="73" customWidth="1"/>
    <col min="10" max="10" width="9.08984375" style="73" customWidth="1"/>
    <col min="11" max="11" width="11.90625" style="73" customWidth="1"/>
    <col min="12" max="12" width="10" style="73" customWidth="1"/>
    <col min="13" max="13" width="9.08984375" style="73"/>
    <col min="14" max="14" width="20.54296875" style="73" bestFit="1" customWidth="1"/>
    <col min="15" max="15" width="16.6328125" style="73" bestFit="1" customWidth="1"/>
    <col min="16" max="16384" width="9.08984375" style="73"/>
  </cols>
  <sheetData>
    <row r="1" spans="1:21" x14ac:dyDescent="0.35">
      <c r="A1" s="93" t="s">
        <v>266</v>
      </c>
      <c r="B1" s="93" t="s">
        <v>54</v>
      </c>
      <c r="C1" s="93" t="s">
        <v>267</v>
      </c>
      <c r="D1" s="93" t="s">
        <v>268</v>
      </c>
      <c r="E1" s="93" t="s">
        <v>269</v>
      </c>
      <c r="F1" s="93" t="s">
        <v>270</v>
      </c>
      <c r="G1" s="93" t="s">
        <v>271</v>
      </c>
      <c r="H1" s="93" t="s">
        <v>272</v>
      </c>
      <c r="I1" s="94" t="s">
        <v>93</v>
      </c>
      <c r="J1" s="94" t="s">
        <v>137</v>
      </c>
      <c r="K1" s="94" t="s">
        <v>273</v>
      </c>
      <c r="L1" s="94" t="s">
        <v>274</v>
      </c>
    </row>
    <row r="2" spans="1:21" x14ac:dyDescent="0.35">
      <c r="A2" s="74" t="s">
        <v>275</v>
      </c>
      <c r="B2" s="74" t="s">
        <v>276</v>
      </c>
      <c r="C2" s="74" t="s">
        <v>277</v>
      </c>
      <c r="D2" s="74" t="s">
        <v>278</v>
      </c>
      <c r="E2" s="75" t="s">
        <v>279</v>
      </c>
      <c r="F2" s="76">
        <v>41640</v>
      </c>
      <c r="G2" s="76" t="s">
        <v>280</v>
      </c>
      <c r="H2" s="76" t="s">
        <v>281</v>
      </c>
      <c r="I2" s="74">
        <v>1000</v>
      </c>
      <c r="J2" s="74">
        <v>22810</v>
      </c>
      <c r="K2" s="74">
        <v>10220</v>
      </c>
      <c r="L2" s="74">
        <v>12590</v>
      </c>
    </row>
    <row r="3" spans="1:21" x14ac:dyDescent="0.35">
      <c r="A3" s="74" t="s">
        <v>282</v>
      </c>
      <c r="B3" s="74" t="s">
        <v>283</v>
      </c>
      <c r="C3" s="74" t="s">
        <v>284</v>
      </c>
      <c r="D3" s="74" t="s">
        <v>285</v>
      </c>
      <c r="E3" s="75" t="s">
        <v>286</v>
      </c>
      <c r="F3" s="76">
        <v>41641</v>
      </c>
      <c r="G3" s="76" t="s">
        <v>287</v>
      </c>
      <c r="H3" s="76" t="s">
        <v>288</v>
      </c>
      <c r="I3" s="74">
        <v>100</v>
      </c>
      <c r="J3" s="74">
        <v>2257</v>
      </c>
      <c r="K3" s="74">
        <v>984</v>
      </c>
      <c r="L3" s="74">
        <v>1273</v>
      </c>
      <c r="R3" s="77"/>
      <c r="S3" s="77"/>
      <c r="T3" s="77"/>
      <c r="U3" s="77"/>
    </row>
    <row r="4" spans="1:21" x14ac:dyDescent="0.35">
      <c r="A4" s="74" t="s">
        <v>289</v>
      </c>
      <c r="B4" s="74" t="s">
        <v>126</v>
      </c>
      <c r="C4" s="74" t="s">
        <v>290</v>
      </c>
      <c r="D4" s="74" t="s">
        <v>291</v>
      </c>
      <c r="E4" s="75" t="s">
        <v>279</v>
      </c>
      <c r="F4" s="76">
        <v>41643</v>
      </c>
      <c r="G4" s="76" t="s">
        <v>292</v>
      </c>
      <c r="H4" s="76" t="s">
        <v>293</v>
      </c>
      <c r="I4" s="74">
        <v>400</v>
      </c>
      <c r="J4" s="74">
        <v>9152</v>
      </c>
      <c r="K4" s="74">
        <v>4088</v>
      </c>
      <c r="L4" s="74">
        <v>5064</v>
      </c>
    </row>
    <row r="5" spans="1:21" x14ac:dyDescent="0.35">
      <c r="A5" s="74" t="s">
        <v>294</v>
      </c>
      <c r="B5" s="74" t="s">
        <v>276</v>
      </c>
      <c r="C5" s="74" t="s">
        <v>295</v>
      </c>
      <c r="D5" s="74" t="s">
        <v>296</v>
      </c>
      <c r="E5" s="75" t="s">
        <v>286</v>
      </c>
      <c r="F5" s="76">
        <v>41643</v>
      </c>
      <c r="G5" s="76" t="s">
        <v>292</v>
      </c>
      <c r="H5" s="76" t="s">
        <v>297</v>
      </c>
      <c r="I5" s="74">
        <v>800</v>
      </c>
      <c r="J5" s="74">
        <v>18552</v>
      </c>
      <c r="K5" s="74">
        <v>7872</v>
      </c>
      <c r="L5" s="74">
        <v>10680</v>
      </c>
    </row>
    <row r="6" spans="1:21" x14ac:dyDescent="0.35">
      <c r="A6" s="74" t="s">
        <v>298</v>
      </c>
      <c r="B6" s="74" t="s">
        <v>128</v>
      </c>
      <c r="C6" s="74" t="s">
        <v>299</v>
      </c>
      <c r="D6" s="74" t="s">
        <v>300</v>
      </c>
      <c r="E6" s="75" t="s">
        <v>286</v>
      </c>
      <c r="F6" s="76">
        <v>41646</v>
      </c>
      <c r="G6" s="76" t="s">
        <v>301</v>
      </c>
      <c r="H6" s="76" t="s">
        <v>302</v>
      </c>
      <c r="I6" s="74">
        <v>1000</v>
      </c>
      <c r="J6" s="74">
        <v>21730</v>
      </c>
      <c r="K6" s="74">
        <v>9840</v>
      </c>
      <c r="L6" s="74">
        <v>11890</v>
      </c>
    </row>
    <row r="7" spans="1:21" x14ac:dyDescent="0.35">
      <c r="A7" s="74" t="s">
        <v>275</v>
      </c>
      <c r="B7" s="74" t="s">
        <v>276</v>
      </c>
      <c r="C7" s="74" t="s">
        <v>277</v>
      </c>
      <c r="D7" s="74" t="s">
        <v>278</v>
      </c>
      <c r="E7" s="75" t="s">
        <v>303</v>
      </c>
      <c r="F7" s="76">
        <v>41646</v>
      </c>
      <c r="G7" s="76" t="s">
        <v>301</v>
      </c>
      <c r="H7" s="76" t="s">
        <v>304</v>
      </c>
      <c r="I7" s="74">
        <v>400</v>
      </c>
      <c r="J7" s="74">
        <v>8456</v>
      </c>
      <c r="K7" s="74">
        <v>3388</v>
      </c>
      <c r="L7" s="74">
        <v>5068</v>
      </c>
    </row>
    <row r="8" spans="1:21" x14ac:dyDescent="0.35">
      <c r="A8" s="74" t="s">
        <v>275</v>
      </c>
      <c r="B8" s="74" t="s">
        <v>276</v>
      </c>
      <c r="C8" s="74" t="s">
        <v>277</v>
      </c>
      <c r="D8" s="74" t="s">
        <v>278</v>
      </c>
      <c r="E8" s="75" t="s">
        <v>303</v>
      </c>
      <c r="F8" s="76">
        <v>41648</v>
      </c>
      <c r="G8" s="76" t="s">
        <v>287</v>
      </c>
      <c r="H8" s="76" t="s">
        <v>304</v>
      </c>
      <c r="I8" s="74">
        <v>800</v>
      </c>
      <c r="J8" s="74">
        <v>16416</v>
      </c>
      <c r="K8" s="74">
        <v>6776</v>
      </c>
      <c r="L8" s="74">
        <v>9640</v>
      </c>
    </row>
    <row r="9" spans="1:21" x14ac:dyDescent="0.35">
      <c r="A9" s="74" t="s">
        <v>305</v>
      </c>
      <c r="B9" s="74" t="s">
        <v>126</v>
      </c>
      <c r="C9" s="74" t="s">
        <v>306</v>
      </c>
      <c r="D9" s="74" t="s">
        <v>307</v>
      </c>
      <c r="E9" s="75" t="s">
        <v>279</v>
      </c>
      <c r="F9" s="76">
        <v>41649</v>
      </c>
      <c r="G9" s="76" t="s">
        <v>308</v>
      </c>
      <c r="H9" s="76" t="s">
        <v>309</v>
      </c>
      <c r="I9" s="74">
        <v>900</v>
      </c>
      <c r="J9" s="74">
        <v>21438</v>
      </c>
      <c r="K9" s="74">
        <v>9198</v>
      </c>
      <c r="L9" s="74">
        <v>12240</v>
      </c>
    </row>
    <row r="10" spans="1:21" x14ac:dyDescent="0.35">
      <c r="A10" s="74" t="s">
        <v>275</v>
      </c>
      <c r="B10" s="74" t="s">
        <v>283</v>
      </c>
      <c r="C10" s="74" t="s">
        <v>284</v>
      </c>
      <c r="D10" s="74" t="s">
        <v>285</v>
      </c>
      <c r="E10" s="75" t="s">
        <v>303</v>
      </c>
      <c r="F10" s="76">
        <v>41651</v>
      </c>
      <c r="G10" s="76" t="s">
        <v>310</v>
      </c>
      <c r="H10" s="76" t="s">
        <v>311</v>
      </c>
      <c r="I10" s="74">
        <v>300</v>
      </c>
      <c r="J10" s="74">
        <v>6267</v>
      </c>
      <c r="K10" s="74">
        <v>2541</v>
      </c>
      <c r="L10" s="74">
        <v>3726</v>
      </c>
    </row>
    <row r="11" spans="1:21" x14ac:dyDescent="0.35">
      <c r="A11" s="74" t="s">
        <v>282</v>
      </c>
      <c r="B11" s="74" t="s">
        <v>126</v>
      </c>
      <c r="C11" s="74" t="s">
        <v>312</v>
      </c>
      <c r="D11" s="74" t="s">
        <v>313</v>
      </c>
      <c r="E11" s="75" t="s">
        <v>279</v>
      </c>
      <c r="F11" s="76">
        <v>41653</v>
      </c>
      <c r="G11" s="76" t="s">
        <v>301</v>
      </c>
      <c r="H11" s="76" t="s">
        <v>314</v>
      </c>
      <c r="I11" s="74">
        <v>100</v>
      </c>
      <c r="J11" s="74">
        <v>2401</v>
      </c>
      <c r="K11" s="74">
        <v>1022</v>
      </c>
      <c r="L11" s="74">
        <v>1379</v>
      </c>
    </row>
    <row r="12" spans="1:21" x14ac:dyDescent="0.35">
      <c r="A12" s="74" t="s">
        <v>282</v>
      </c>
      <c r="B12" s="74" t="s">
        <v>283</v>
      </c>
      <c r="C12" s="74" t="s">
        <v>284</v>
      </c>
      <c r="D12" s="74" t="s">
        <v>285</v>
      </c>
      <c r="E12" s="75" t="s">
        <v>303</v>
      </c>
      <c r="F12" s="76">
        <v>41654</v>
      </c>
      <c r="G12" s="76" t="s">
        <v>280</v>
      </c>
      <c r="H12" s="76" t="s">
        <v>288</v>
      </c>
      <c r="I12" s="74">
        <v>500</v>
      </c>
      <c r="J12" s="74">
        <v>9345</v>
      </c>
      <c r="K12" s="74">
        <v>4235</v>
      </c>
      <c r="L12" s="74">
        <v>5110</v>
      </c>
    </row>
    <row r="13" spans="1:21" x14ac:dyDescent="0.35">
      <c r="A13" s="74" t="s">
        <v>298</v>
      </c>
      <c r="B13" s="74" t="s">
        <v>283</v>
      </c>
      <c r="C13" s="74" t="s">
        <v>284</v>
      </c>
      <c r="D13" s="74" t="s">
        <v>285</v>
      </c>
      <c r="E13" s="75" t="s">
        <v>303</v>
      </c>
      <c r="F13" s="76">
        <v>41655</v>
      </c>
      <c r="G13" s="76" t="s">
        <v>287</v>
      </c>
      <c r="H13" s="76" t="s">
        <v>315</v>
      </c>
      <c r="I13" s="74">
        <v>600</v>
      </c>
      <c r="J13" s="74">
        <v>11628</v>
      </c>
      <c r="K13" s="74">
        <v>5082</v>
      </c>
      <c r="L13" s="74">
        <v>6546</v>
      </c>
    </row>
    <row r="14" spans="1:21" x14ac:dyDescent="0.35">
      <c r="A14" s="74" t="s">
        <v>282</v>
      </c>
      <c r="B14" s="74" t="s">
        <v>283</v>
      </c>
      <c r="C14" s="74" t="s">
        <v>284</v>
      </c>
      <c r="D14" s="74" t="s">
        <v>285</v>
      </c>
      <c r="E14" s="75" t="s">
        <v>286</v>
      </c>
      <c r="F14" s="76">
        <v>41658</v>
      </c>
      <c r="G14" s="76" t="s">
        <v>310</v>
      </c>
      <c r="H14" s="76" t="s">
        <v>288</v>
      </c>
      <c r="I14" s="74">
        <v>100</v>
      </c>
      <c r="J14" s="74">
        <v>2042</v>
      </c>
      <c r="K14" s="74">
        <v>984</v>
      </c>
      <c r="L14" s="74">
        <v>1058</v>
      </c>
    </row>
    <row r="15" spans="1:21" x14ac:dyDescent="0.35">
      <c r="A15" s="74" t="s">
        <v>294</v>
      </c>
      <c r="B15" s="74" t="s">
        <v>283</v>
      </c>
      <c r="C15" s="74" t="s">
        <v>284</v>
      </c>
      <c r="D15" s="74" t="s">
        <v>285</v>
      </c>
      <c r="E15" s="75" t="s">
        <v>316</v>
      </c>
      <c r="F15" s="76">
        <v>41660</v>
      </c>
      <c r="G15" s="76" t="s">
        <v>301</v>
      </c>
      <c r="H15" s="76" t="s">
        <v>317</v>
      </c>
      <c r="I15" s="74">
        <v>800</v>
      </c>
      <c r="J15" s="74">
        <v>14440</v>
      </c>
      <c r="K15" s="74">
        <v>6776</v>
      </c>
      <c r="L15" s="74">
        <v>7664</v>
      </c>
    </row>
    <row r="16" spans="1:21" x14ac:dyDescent="0.35">
      <c r="A16" s="74" t="s">
        <v>294</v>
      </c>
      <c r="B16" s="74" t="s">
        <v>276</v>
      </c>
      <c r="C16" s="74" t="s">
        <v>295</v>
      </c>
      <c r="D16" s="74" t="s">
        <v>296</v>
      </c>
      <c r="E16" s="75" t="s">
        <v>316</v>
      </c>
      <c r="F16" s="76">
        <v>41660</v>
      </c>
      <c r="G16" s="76" t="s">
        <v>301</v>
      </c>
      <c r="H16" s="76" t="s">
        <v>297</v>
      </c>
      <c r="I16" s="74">
        <v>200</v>
      </c>
      <c r="J16" s="74">
        <v>3552</v>
      </c>
      <c r="K16" s="74">
        <v>1694</v>
      </c>
      <c r="L16" s="74">
        <v>1858</v>
      </c>
    </row>
    <row r="17" spans="1:12" x14ac:dyDescent="0.35">
      <c r="A17" s="74" t="s">
        <v>275</v>
      </c>
      <c r="B17" s="74" t="s">
        <v>276</v>
      </c>
      <c r="C17" s="74" t="s">
        <v>277</v>
      </c>
      <c r="D17" s="74" t="s">
        <v>278</v>
      </c>
      <c r="E17" s="75" t="s">
        <v>303</v>
      </c>
      <c r="F17" s="76">
        <v>41662</v>
      </c>
      <c r="G17" s="76" t="s">
        <v>287</v>
      </c>
      <c r="H17" s="76" t="s">
        <v>304</v>
      </c>
      <c r="I17" s="74">
        <v>800</v>
      </c>
      <c r="J17" s="74">
        <v>14592</v>
      </c>
      <c r="K17" s="74">
        <v>6776</v>
      </c>
      <c r="L17" s="74">
        <v>7816</v>
      </c>
    </row>
    <row r="18" spans="1:12" x14ac:dyDescent="0.35">
      <c r="A18" s="74" t="s">
        <v>275</v>
      </c>
      <c r="B18" s="74" t="s">
        <v>283</v>
      </c>
      <c r="C18" s="74" t="s">
        <v>284</v>
      </c>
      <c r="D18" s="74" t="s">
        <v>285</v>
      </c>
      <c r="E18" s="75" t="s">
        <v>303</v>
      </c>
      <c r="F18" s="76">
        <v>41663</v>
      </c>
      <c r="G18" s="76" t="s">
        <v>308</v>
      </c>
      <c r="H18" s="76" t="s">
        <v>311</v>
      </c>
      <c r="I18" s="74">
        <v>600</v>
      </c>
      <c r="J18" s="74">
        <v>12606</v>
      </c>
      <c r="K18" s="74">
        <v>5082</v>
      </c>
      <c r="L18" s="74">
        <v>7524</v>
      </c>
    </row>
    <row r="19" spans="1:12" x14ac:dyDescent="0.35">
      <c r="A19" s="74" t="s">
        <v>298</v>
      </c>
      <c r="B19" s="74" t="s">
        <v>283</v>
      </c>
      <c r="C19" s="74" t="s">
        <v>284</v>
      </c>
      <c r="D19" s="74" t="s">
        <v>285</v>
      </c>
      <c r="E19" s="75" t="s">
        <v>303</v>
      </c>
      <c r="F19" s="76">
        <v>41664</v>
      </c>
      <c r="G19" s="76" t="s">
        <v>292</v>
      </c>
      <c r="H19" s="76" t="s">
        <v>315</v>
      </c>
      <c r="I19" s="74">
        <v>1000</v>
      </c>
      <c r="J19" s="74">
        <v>20770</v>
      </c>
      <c r="K19" s="74">
        <v>8470</v>
      </c>
      <c r="L19" s="74">
        <v>12300</v>
      </c>
    </row>
    <row r="20" spans="1:12" x14ac:dyDescent="0.35">
      <c r="A20" s="74" t="s">
        <v>275</v>
      </c>
      <c r="B20" s="74" t="s">
        <v>283</v>
      </c>
      <c r="C20" s="74" t="s">
        <v>284</v>
      </c>
      <c r="D20" s="74" t="s">
        <v>285</v>
      </c>
      <c r="E20" s="75" t="s">
        <v>303</v>
      </c>
      <c r="F20" s="76">
        <v>41665</v>
      </c>
      <c r="G20" s="76" t="s">
        <v>310</v>
      </c>
      <c r="H20" s="76" t="s">
        <v>311</v>
      </c>
      <c r="I20" s="74">
        <v>400</v>
      </c>
      <c r="J20" s="74">
        <v>8128</v>
      </c>
      <c r="K20" s="74">
        <v>3388</v>
      </c>
      <c r="L20" s="74">
        <v>4740</v>
      </c>
    </row>
    <row r="21" spans="1:12" x14ac:dyDescent="0.35">
      <c r="A21" s="74" t="s">
        <v>289</v>
      </c>
      <c r="B21" s="74" t="s">
        <v>126</v>
      </c>
      <c r="C21" s="74" t="s">
        <v>290</v>
      </c>
      <c r="D21" s="74" t="s">
        <v>291</v>
      </c>
      <c r="E21" s="75" t="s">
        <v>303</v>
      </c>
      <c r="F21" s="76">
        <v>41668</v>
      </c>
      <c r="G21" s="76" t="s">
        <v>280</v>
      </c>
      <c r="H21" s="76" t="s">
        <v>293</v>
      </c>
      <c r="I21" s="74">
        <v>400</v>
      </c>
      <c r="J21" s="74">
        <v>7136</v>
      </c>
      <c r="K21" s="74">
        <v>3388</v>
      </c>
      <c r="L21" s="74">
        <v>3748</v>
      </c>
    </row>
    <row r="22" spans="1:12" x14ac:dyDescent="0.35">
      <c r="A22" s="74" t="s">
        <v>275</v>
      </c>
      <c r="B22" s="74" t="s">
        <v>276</v>
      </c>
      <c r="C22" s="74" t="s">
        <v>277</v>
      </c>
      <c r="D22" s="74" t="s">
        <v>278</v>
      </c>
      <c r="E22" s="75" t="s">
        <v>286</v>
      </c>
      <c r="F22" s="76">
        <v>41668</v>
      </c>
      <c r="G22" s="76" t="s">
        <v>280</v>
      </c>
      <c r="H22" s="76" t="s">
        <v>304</v>
      </c>
      <c r="I22" s="74">
        <v>700</v>
      </c>
      <c r="J22" s="74">
        <v>17150</v>
      </c>
      <c r="K22" s="74">
        <v>6888</v>
      </c>
      <c r="L22" s="74">
        <v>10262</v>
      </c>
    </row>
    <row r="23" spans="1:12" x14ac:dyDescent="0.35">
      <c r="A23" s="74" t="s">
        <v>305</v>
      </c>
      <c r="B23" s="74" t="s">
        <v>126</v>
      </c>
      <c r="C23" s="74" t="s">
        <v>306</v>
      </c>
      <c r="D23" s="74" t="s">
        <v>307</v>
      </c>
      <c r="E23" s="75" t="s">
        <v>286</v>
      </c>
      <c r="F23" s="76">
        <v>41669</v>
      </c>
      <c r="G23" s="76" t="s">
        <v>287</v>
      </c>
      <c r="H23" s="76" t="s">
        <v>309</v>
      </c>
      <c r="I23" s="74">
        <v>300</v>
      </c>
      <c r="J23" s="74">
        <v>6714</v>
      </c>
      <c r="K23" s="74">
        <v>2952</v>
      </c>
      <c r="L23" s="74">
        <v>3762</v>
      </c>
    </row>
    <row r="24" spans="1:12" x14ac:dyDescent="0.35">
      <c r="A24" s="74" t="s">
        <v>275</v>
      </c>
      <c r="B24" s="74" t="s">
        <v>276</v>
      </c>
      <c r="C24" s="74" t="s">
        <v>277</v>
      </c>
      <c r="D24" s="74" t="s">
        <v>278</v>
      </c>
      <c r="E24" s="75" t="s">
        <v>303</v>
      </c>
      <c r="F24" s="76">
        <v>41670</v>
      </c>
      <c r="G24" s="76" t="s">
        <v>308</v>
      </c>
      <c r="H24" s="76" t="s">
        <v>304</v>
      </c>
      <c r="I24" s="74">
        <v>800</v>
      </c>
      <c r="J24" s="74">
        <v>15640</v>
      </c>
      <c r="K24" s="74">
        <v>6776</v>
      </c>
      <c r="L24" s="74">
        <v>8864</v>
      </c>
    </row>
    <row r="25" spans="1:12" x14ac:dyDescent="0.35">
      <c r="A25" s="74" t="s">
        <v>305</v>
      </c>
      <c r="B25" s="74" t="s">
        <v>126</v>
      </c>
      <c r="C25" s="74" t="s">
        <v>306</v>
      </c>
      <c r="D25" s="74" t="s">
        <v>307</v>
      </c>
      <c r="E25" s="75" t="s">
        <v>303</v>
      </c>
      <c r="F25" s="76">
        <v>41671</v>
      </c>
      <c r="G25" s="76" t="s">
        <v>292</v>
      </c>
      <c r="H25" s="76" t="s">
        <v>309</v>
      </c>
      <c r="I25" s="74">
        <v>300</v>
      </c>
      <c r="J25" s="74">
        <v>5532</v>
      </c>
      <c r="K25" s="74">
        <v>2541</v>
      </c>
      <c r="L25" s="74">
        <v>2991</v>
      </c>
    </row>
    <row r="26" spans="1:12" x14ac:dyDescent="0.35">
      <c r="A26" s="74" t="s">
        <v>282</v>
      </c>
      <c r="B26" s="74" t="s">
        <v>283</v>
      </c>
      <c r="C26" s="74" t="s">
        <v>284</v>
      </c>
      <c r="D26" s="74" t="s">
        <v>285</v>
      </c>
      <c r="E26" s="75" t="s">
        <v>286</v>
      </c>
      <c r="F26" s="76">
        <v>41673</v>
      </c>
      <c r="G26" s="76" t="s">
        <v>318</v>
      </c>
      <c r="H26" s="76" t="s">
        <v>288</v>
      </c>
      <c r="I26" s="74">
        <v>800</v>
      </c>
      <c r="J26" s="74">
        <v>17160</v>
      </c>
      <c r="K26" s="74">
        <v>7872</v>
      </c>
      <c r="L26" s="74">
        <v>9288</v>
      </c>
    </row>
    <row r="27" spans="1:12" x14ac:dyDescent="0.35">
      <c r="A27" s="74" t="s">
        <v>275</v>
      </c>
      <c r="B27" s="74" t="s">
        <v>283</v>
      </c>
      <c r="C27" s="74" t="s">
        <v>284</v>
      </c>
      <c r="D27" s="74" t="s">
        <v>285</v>
      </c>
      <c r="E27" s="75" t="s">
        <v>286</v>
      </c>
      <c r="F27" s="76">
        <v>41676</v>
      </c>
      <c r="G27" s="76" t="s">
        <v>287</v>
      </c>
      <c r="H27" s="76" t="s">
        <v>319</v>
      </c>
      <c r="I27" s="74">
        <v>900</v>
      </c>
      <c r="J27" s="74">
        <v>21708</v>
      </c>
      <c r="K27" s="74">
        <v>8856</v>
      </c>
      <c r="L27" s="74">
        <v>12852</v>
      </c>
    </row>
    <row r="28" spans="1:12" x14ac:dyDescent="0.35">
      <c r="A28" s="74" t="s">
        <v>275</v>
      </c>
      <c r="B28" s="74" t="s">
        <v>283</v>
      </c>
      <c r="C28" s="74" t="s">
        <v>284</v>
      </c>
      <c r="D28" s="74" t="s">
        <v>285</v>
      </c>
      <c r="E28" s="75" t="s">
        <v>303</v>
      </c>
      <c r="F28" s="76">
        <v>41677</v>
      </c>
      <c r="G28" s="76" t="s">
        <v>308</v>
      </c>
      <c r="H28" s="76" t="s">
        <v>311</v>
      </c>
      <c r="I28" s="74">
        <v>1000</v>
      </c>
      <c r="J28" s="74">
        <v>19890</v>
      </c>
      <c r="K28" s="74">
        <v>8470</v>
      </c>
      <c r="L28" s="74">
        <v>11420</v>
      </c>
    </row>
    <row r="29" spans="1:12" x14ac:dyDescent="0.35">
      <c r="A29" s="74" t="s">
        <v>298</v>
      </c>
      <c r="B29" s="74" t="s">
        <v>283</v>
      </c>
      <c r="C29" s="74" t="s">
        <v>284</v>
      </c>
      <c r="D29" s="74" t="s">
        <v>285</v>
      </c>
      <c r="E29" s="75" t="s">
        <v>303</v>
      </c>
      <c r="F29" s="76">
        <v>41678</v>
      </c>
      <c r="G29" s="76" t="s">
        <v>292</v>
      </c>
      <c r="H29" s="76" t="s">
        <v>315</v>
      </c>
      <c r="I29" s="74">
        <v>100</v>
      </c>
      <c r="J29" s="74">
        <v>1817</v>
      </c>
      <c r="K29" s="74">
        <v>847</v>
      </c>
      <c r="L29" s="74">
        <v>970</v>
      </c>
    </row>
    <row r="30" spans="1:12" x14ac:dyDescent="0.35">
      <c r="A30" s="74" t="s">
        <v>275</v>
      </c>
      <c r="B30" s="74" t="s">
        <v>276</v>
      </c>
      <c r="C30" s="74" t="s">
        <v>277</v>
      </c>
      <c r="D30" s="74" t="s">
        <v>278</v>
      </c>
      <c r="E30" s="75" t="s">
        <v>303</v>
      </c>
      <c r="F30" s="76">
        <v>41679</v>
      </c>
      <c r="G30" s="76" t="s">
        <v>310</v>
      </c>
      <c r="H30" s="76" t="s">
        <v>304</v>
      </c>
      <c r="I30" s="74">
        <v>300</v>
      </c>
      <c r="J30" s="74">
        <v>5157</v>
      </c>
      <c r="K30" s="74">
        <v>2541</v>
      </c>
      <c r="L30" s="74">
        <v>2616</v>
      </c>
    </row>
    <row r="31" spans="1:12" x14ac:dyDescent="0.35">
      <c r="A31" s="74" t="s">
        <v>298</v>
      </c>
      <c r="B31" s="74" t="s">
        <v>283</v>
      </c>
      <c r="C31" s="74" t="s">
        <v>284</v>
      </c>
      <c r="D31" s="74" t="s">
        <v>285</v>
      </c>
      <c r="E31" s="75" t="s">
        <v>286</v>
      </c>
      <c r="F31" s="76">
        <v>41684</v>
      </c>
      <c r="G31" s="76" t="s">
        <v>308</v>
      </c>
      <c r="H31" s="76" t="s">
        <v>315</v>
      </c>
      <c r="I31" s="74">
        <v>700</v>
      </c>
      <c r="J31" s="74">
        <v>13867</v>
      </c>
      <c r="K31" s="74">
        <v>6888</v>
      </c>
      <c r="L31" s="74">
        <v>6979</v>
      </c>
    </row>
    <row r="32" spans="1:12" x14ac:dyDescent="0.35">
      <c r="A32" s="74" t="s">
        <v>275</v>
      </c>
      <c r="B32" s="74" t="s">
        <v>276</v>
      </c>
      <c r="C32" s="74" t="s">
        <v>320</v>
      </c>
      <c r="D32" s="74" t="s">
        <v>321</v>
      </c>
      <c r="E32" s="75" t="s">
        <v>279</v>
      </c>
      <c r="F32" s="76">
        <v>41686</v>
      </c>
      <c r="G32" s="76" t="s">
        <v>310</v>
      </c>
      <c r="H32" s="76" t="s">
        <v>322</v>
      </c>
      <c r="I32" s="74">
        <v>800</v>
      </c>
      <c r="J32" s="74">
        <v>16936</v>
      </c>
      <c r="K32" s="74">
        <v>8176</v>
      </c>
      <c r="L32" s="74">
        <v>8760</v>
      </c>
    </row>
    <row r="33" spans="1:12" x14ac:dyDescent="0.35">
      <c r="A33" s="74" t="s">
        <v>289</v>
      </c>
      <c r="B33" s="74" t="s">
        <v>126</v>
      </c>
      <c r="C33" s="74" t="s">
        <v>290</v>
      </c>
      <c r="D33" s="74" t="s">
        <v>291</v>
      </c>
      <c r="E33" s="75" t="s">
        <v>303</v>
      </c>
      <c r="F33" s="76">
        <v>41687</v>
      </c>
      <c r="G33" s="76" t="s">
        <v>318</v>
      </c>
      <c r="H33" s="76" t="s">
        <v>323</v>
      </c>
      <c r="I33" s="74">
        <v>600</v>
      </c>
      <c r="J33" s="74">
        <v>11430</v>
      </c>
      <c r="K33" s="74">
        <v>5082</v>
      </c>
      <c r="L33" s="74">
        <v>6348</v>
      </c>
    </row>
    <row r="34" spans="1:12" x14ac:dyDescent="0.35">
      <c r="A34" s="74" t="s">
        <v>305</v>
      </c>
      <c r="B34" s="74" t="s">
        <v>126</v>
      </c>
      <c r="C34" s="74" t="s">
        <v>306</v>
      </c>
      <c r="D34" s="74" t="s">
        <v>307</v>
      </c>
      <c r="E34" s="75" t="s">
        <v>303</v>
      </c>
      <c r="F34" s="76">
        <v>41688</v>
      </c>
      <c r="G34" s="76" t="s">
        <v>301</v>
      </c>
      <c r="H34" s="76" t="s">
        <v>309</v>
      </c>
      <c r="I34" s="74">
        <v>1000</v>
      </c>
      <c r="J34" s="74">
        <v>20250</v>
      </c>
      <c r="K34" s="74">
        <v>8470</v>
      </c>
      <c r="L34" s="74">
        <v>11780</v>
      </c>
    </row>
    <row r="35" spans="1:12" x14ac:dyDescent="0.35">
      <c r="A35" s="74" t="s">
        <v>305</v>
      </c>
      <c r="B35" s="74" t="s">
        <v>126</v>
      </c>
      <c r="C35" s="74" t="s">
        <v>306</v>
      </c>
      <c r="D35" s="74" t="s">
        <v>307</v>
      </c>
      <c r="E35" s="75" t="s">
        <v>303</v>
      </c>
      <c r="F35" s="76">
        <v>41689</v>
      </c>
      <c r="G35" s="76" t="s">
        <v>280</v>
      </c>
      <c r="H35" s="76" t="s">
        <v>309</v>
      </c>
      <c r="I35" s="74">
        <v>500</v>
      </c>
      <c r="J35" s="74">
        <v>10385</v>
      </c>
      <c r="K35" s="74">
        <v>4235</v>
      </c>
      <c r="L35" s="74">
        <v>6150</v>
      </c>
    </row>
    <row r="36" spans="1:12" x14ac:dyDescent="0.35">
      <c r="A36" s="74" t="s">
        <v>289</v>
      </c>
      <c r="B36" s="74" t="s">
        <v>126</v>
      </c>
      <c r="C36" s="74" t="s">
        <v>290</v>
      </c>
      <c r="D36" s="74" t="s">
        <v>291</v>
      </c>
      <c r="E36" s="75" t="s">
        <v>303</v>
      </c>
      <c r="F36" s="76">
        <v>41690</v>
      </c>
      <c r="G36" s="76" t="s">
        <v>287</v>
      </c>
      <c r="H36" s="76" t="s">
        <v>323</v>
      </c>
      <c r="I36" s="74">
        <v>600</v>
      </c>
      <c r="J36" s="74">
        <v>11124</v>
      </c>
      <c r="K36" s="74">
        <v>5082</v>
      </c>
      <c r="L36" s="74">
        <v>6042</v>
      </c>
    </row>
    <row r="37" spans="1:12" x14ac:dyDescent="0.35">
      <c r="A37" s="74" t="s">
        <v>275</v>
      </c>
      <c r="B37" s="74" t="s">
        <v>276</v>
      </c>
      <c r="C37" s="74" t="s">
        <v>277</v>
      </c>
      <c r="D37" s="74" t="s">
        <v>278</v>
      </c>
      <c r="E37" s="75" t="s">
        <v>303</v>
      </c>
      <c r="F37" s="76">
        <v>41690</v>
      </c>
      <c r="G37" s="76" t="s">
        <v>287</v>
      </c>
      <c r="H37" s="76" t="s">
        <v>281</v>
      </c>
      <c r="I37" s="74">
        <v>300</v>
      </c>
      <c r="J37" s="74">
        <v>5700</v>
      </c>
      <c r="K37" s="74">
        <v>2541</v>
      </c>
      <c r="L37" s="74">
        <v>3159</v>
      </c>
    </row>
    <row r="38" spans="1:12" x14ac:dyDescent="0.35">
      <c r="A38" s="74" t="s">
        <v>305</v>
      </c>
      <c r="B38" s="74" t="s">
        <v>126</v>
      </c>
      <c r="C38" s="74" t="s">
        <v>306</v>
      </c>
      <c r="D38" s="74" t="s">
        <v>307</v>
      </c>
      <c r="E38" s="75" t="s">
        <v>279</v>
      </c>
      <c r="F38" s="76">
        <v>41690</v>
      </c>
      <c r="G38" s="76" t="s">
        <v>287</v>
      </c>
      <c r="H38" s="76" t="s">
        <v>309</v>
      </c>
      <c r="I38" s="74">
        <v>1000</v>
      </c>
      <c r="J38" s="74">
        <v>23810</v>
      </c>
      <c r="K38" s="74">
        <v>10220</v>
      </c>
      <c r="L38" s="74">
        <v>13590</v>
      </c>
    </row>
    <row r="39" spans="1:12" x14ac:dyDescent="0.35">
      <c r="A39" s="74" t="s">
        <v>305</v>
      </c>
      <c r="B39" s="74" t="s">
        <v>126</v>
      </c>
      <c r="C39" s="74" t="s">
        <v>306</v>
      </c>
      <c r="D39" s="74" t="s">
        <v>307</v>
      </c>
      <c r="E39" s="75" t="s">
        <v>279</v>
      </c>
      <c r="F39" s="76">
        <v>41693</v>
      </c>
      <c r="G39" s="76" t="s">
        <v>310</v>
      </c>
      <c r="H39" s="76" t="s">
        <v>309</v>
      </c>
      <c r="I39" s="74">
        <v>500</v>
      </c>
      <c r="J39" s="74">
        <v>11525</v>
      </c>
      <c r="K39" s="74">
        <v>5110</v>
      </c>
      <c r="L39" s="74">
        <v>6415</v>
      </c>
    </row>
    <row r="40" spans="1:12" x14ac:dyDescent="0.35">
      <c r="A40" s="74" t="s">
        <v>289</v>
      </c>
      <c r="B40" s="74" t="s">
        <v>128</v>
      </c>
      <c r="C40" s="74" t="s">
        <v>299</v>
      </c>
      <c r="D40" s="74" t="s">
        <v>300</v>
      </c>
      <c r="E40" s="75" t="s">
        <v>286</v>
      </c>
      <c r="F40" s="76">
        <v>41696</v>
      </c>
      <c r="G40" s="76" t="s">
        <v>280</v>
      </c>
      <c r="H40" s="76" t="s">
        <v>324</v>
      </c>
      <c r="I40" s="74">
        <v>900</v>
      </c>
      <c r="J40" s="74">
        <v>20610</v>
      </c>
      <c r="K40" s="74">
        <v>8856</v>
      </c>
      <c r="L40" s="74">
        <v>11754</v>
      </c>
    </row>
    <row r="41" spans="1:12" x14ac:dyDescent="0.35">
      <c r="A41" s="74" t="s">
        <v>275</v>
      </c>
      <c r="B41" s="74" t="s">
        <v>276</v>
      </c>
      <c r="C41" s="74" t="s">
        <v>277</v>
      </c>
      <c r="D41" s="74" t="s">
        <v>278</v>
      </c>
      <c r="E41" s="75" t="s">
        <v>286</v>
      </c>
      <c r="F41" s="76">
        <v>41696</v>
      </c>
      <c r="G41" s="76" t="s">
        <v>280</v>
      </c>
      <c r="H41" s="76" t="s">
        <v>281</v>
      </c>
      <c r="I41" s="74">
        <v>600</v>
      </c>
      <c r="J41" s="74">
        <v>13206</v>
      </c>
      <c r="K41" s="74">
        <v>5904</v>
      </c>
      <c r="L41" s="74">
        <v>7302</v>
      </c>
    </row>
    <row r="42" spans="1:12" x14ac:dyDescent="0.35">
      <c r="A42" s="74" t="s">
        <v>305</v>
      </c>
      <c r="B42" s="74" t="s">
        <v>126</v>
      </c>
      <c r="C42" s="74" t="s">
        <v>306</v>
      </c>
      <c r="D42" s="74" t="s">
        <v>307</v>
      </c>
      <c r="E42" s="75" t="s">
        <v>279</v>
      </c>
      <c r="F42" s="76">
        <v>41696</v>
      </c>
      <c r="G42" s="76" t="s">
        <v>280</v>
      </c>
      <c r="H42" s="76" t="s">
        <v>309</v>
      </c>
      <c r="I42" s="74">
        <v>1000</v>
      </c>
      <c r="J42" s="74">
        <v>25140</v>
      </c>
      <c r="K42" s="74">
        <v>10220</v>
      </c>
      <c r="L42" s="74">
        <v>14920</v>
      </c>
    </row>
    <row r="43" spans="1:12" x14ac:dyDescent="0.35">
      <c r="A43" s="74" t="s">
        <v>275</v>
      </c>
      <c r="B43" s="74" t="s">
        <v>276</v>
      </c>
      <c r="C43" s="74" t="s">
        <v>277</v>
      </c>
      <c r="D43" s="74" t="s">
        <v>278</v>
      </c>
      <c r="E43" s="75" t="s">
        <v>303</v>
      </c>
      <c r="F43" s="76">
        <v>41697</v>
      </c>
      <c r="G43" s="76" t="s">
        <v>287</v>
      </c>
      <c r="H43" s="76" t="s">
        <v>281</v>
      </c>
      <c r="I43" s="74">
        <v>900</v>
      </c>
      <c r="J43" s="74">
        <v>16209</v>
      </c>
      <c r="K43" s="74">
        <v>7623</v>
      </c>
      <c r="L43" s="74">
        <v>8586</v>
      </c>
    </row>
    <row r="44" spans="1:12" x14ac:dyDescent="0.35">
      <c r="A44" s="74" t="s">
        <v>305</v>
      </c>
      <c r="B44" s="74" t="s">
        <v>126</v>
      </c>
      <c r="C44" s="74" t="s">
        <v>306</v>
      </c>
      <c r="D44" s="74" t="s">
        <v>307</v>
      </c>
      <c r="E44" s="75" t="s">
        <v>286</v>
      </c>
      <c r="F44" s="76">
        <v>41697</v>
      </c>
      <c r="G44" s="76" t="s">
        <v>287</v>
      </c>
      <c r="H44" s="76" t="s">
        <v>309</v>
      </c>
      <c r="I44" s="74">
        <v>400</v>
      </c>
      <c r="J44" s="74">
        <v>8708</v>
      </c>
      <c r="K44" s="74">
        <v>3936</v>
      </c>
      <c r="L44" s="74">
        <v>4772</v>
      </c>
    </row>
    <row r="45" spans="1:12" x14ac:dyDescent="0.35">
      <c r="A45" s="74" t="s">
        <v>275</v>
      </c>
      <c r="B45" s="74" t="s">
        <v>276</v>
      </c>
      <c r="C45" s="74" t="s">
        <v>277</v>
      </c>
      <c r="D45" s="74" t="s">
        <v>278</v>
      </c>
      <c r="E45" s="75" t="s">
        <v>279</v>
      </c>
      <c r="F45" s="76">
        <v>41698</v>
      </c>
      <c r="G45" s="76" t="s">
        <v>308</v>
      </c>
      <c r="H45" s="76" t="s">
        <v>304</v>
      </c>
      <c r="I45" s="74">
        <v>900</v>
      </c>
      <c r="J45" s="74">
        <v>21456</v>
      </c>
      <c r="K45" s="74">
        <v>9198</v>
      </c>
      <c r="L45" s="74">
        <v>12258</v>
      </c>
    </row>
    <row r="46" spans="1:12" x14ac:dyDescent="0.35">
      <c r="A46" s="74" t="s">
        <v>305</v>
      </c>
      <c r="B46" s="74" t="s">
        <v>126</v>
      </c>
      <c r="C46" s="74" t="s">
        <v>306</v>
      </c>
      <c r="D46" s="74" t="s">
        <v>307</v>
      </c>
      <c r="E46" s="75" t="s">
        <v>279</v>
      </c>
      <c r="F46" s="76">
        <v>41699</v>
      </c>
      <c r="G46" s="76" t="s">
        <v>292</v>
      </c>
      <c r="H46" s="76" t="s">
        <v>309</v>
      </c>
      <c r="I46" s="74">
        <v>500</v>
      </c>
      <c r="J46" s="74">
        <v>10445</v>
      </c>
      <c r="K46" s="74">
        <v>5110</v>
      </c>
      <c r="L46" s="74">
        <v>5335</v>
      </c>
    </row>
    <row r="47" spans="1:12" x14ac:dyDescent="0.35">
      <c r="A47" s="74" t="s">
        <v>275</v>
      </c>
      <c r="B47" s="74" t="s">
        <v>283</v>
      </c>
      <c r="C47" s="74" t="s">
        <v>284</v>
      </c>
      <c r="D47" s="74" t="s">
        <v>285</v>
      </c>
      <c r="E47" s="75" t="s">
        <v>286</v>
      </c>
      <c r="F47" s="76">
        <v>41702</v>
      </c>
      <c r="G47" s="76" t="s">
        <v>301</v>
      </c>
      <c r="H47" s="76" t="s">
        <v>319</v>
      </c>
      <c r="I47" s="74">
        <v>600</v>
      </c>
      <c r="J47" s="74">
        <v>14472</v>
      </c>
      <c r="K47" s="74">
        <v>5904</v>
      </c>
      <c r="L47" s="74">
        <v>8568</v>
      </c>
    </row>
    <row r="48" spans="1:12" x14ac:dyDescent="0.35">
      <c r="A48" s="74" t="s">
        <v>305</v>
      </c>
      <c r="B48" s="74" t="s">
        <v>126</v>
      </c>
      <c r="C48" s="74" t="s">
        <v>306</v>
      </c>
      <c r="D48" s="74" t="s">
        <v>307</v>
      </c>
      <c r="E48" s="75" t="s">
        <v>279</v>
      </c>
      <c r="F48" s="76">
        <v>41703</v>
      </c>
      <c r="G48" s="76" t="s">
        <v>280</v>
      </c>
      <c r="H48" s="76" t="s">
        <v>309</v>
      </c>
      <c r="I48" s="74">
        <v>200</v>
      </c>
      <c r="J48" s="74">
        <v>4262</v>
      </c>
      <c r="K48" s="74">
        <v>2044</v>
      </c>
      <c r="L48" s="74">
        <v>2218</v>
      </c>
    </row>
    <row r="49" spans="1:12" x14ac:dyDescent="0.35">
      <c r="A49" s="74" t="s">
        <v>325</v>
      </c>
      <c r="B49" s="74" t="s">
        <v>276</v>
      </c>
      <c r="C49" s="74" t="s">
        <v>326</v>
      </c>
      <c r="D49" s="74" t="s">
        <v>327</v>
      </c>
      <c r="E49" s="75" t="s">
        <v>303</v>
      </c>
      <c r="F49" s="76">
        <v>41704</v>
      </c>
      <c r="G49" s="76" t="s">
        <v>287</v>
      </c>
      <c r="H49" s="76" t="s">
        <v>328</v>
      </c>
      <c r="I49" s="74">
        <v>700</v>
      </c>
      <c r="J49" s="74">
        <v>12474</v>
      </c>
      <c r="K49" s="74">
        <v>5929</v>
      </c>
      <c r="L49" s="74">
        <v>6545</v>
      </c>
    </row>
    <row r="50" spans="1:12" x14ac:dyDescent="0.35">
      <c r="A50" s="74" t="s">
        <v>289</v>
      </c>
      <c r="B50" s="74" t="s">
        <v>126</v>
      </c>
      <c r="C50" s="74" t="s">
        <v>290</v>
      </c>
      <c r="D50" s="74" t="s">
        <v>291</v>
      </c>
      <c r="E50" s="75" t="s">
        <v>303</v>
      </c>
      <c r="F50" s="76">
        <v>41705</v>
      </c>
      <c r="G50" s="76" t="s">
        <v>308</v>
      </c>
      <c r="H50" s="76" t="s">
        <v>323</v>
      </c>
      <c r="I50" s="74">
        <v>500</v>
      </c>
      <c r="J50" s="74">
        <v>10155</v>
      </c>
      <c r="K50" s="74">
        <v>4235</v>
      </c>
      <c r="L50" s="74">
        <v>5920</v>
      </c>
    </row>
    <row r="51" spans="1:12" x14ac:dyDescent="0.35">
      <c r="A51" s="74" t="s">
        <v>305</v>
      </c>
      <c r="B51" s="74" t="s">
        <v>126</v>
      </c>
      <c r="C51" s="74" t="s">
        <v>306</v>
      </c>
      <c r="D51" s="74" t="s">
        <v>307</v>
      </c>
      <c r="E51" s="75" t="s">
        <v>286</v>
      </c>
      <c r="F51" s="76">
        <v>41708</v>
      </c>
      <c r="G51" s="76" t="s">
        <v>318</v>
      </c>
      <c r="H51" s="76" t="s">
        <v>309</v>
      </c>
      <c r="I51" s="74">
        <v>900</v>
      </c>
      <c r="J51" s="74">
        <v>19503</v>
      </c>
      <c r="K51" s="74">
        <v>8856</v>
      </c>
      <c r="L51" s="74">
        <v>10647</v>
      </c>
    </row>
    <row r="52" spans="1:12" x14ac:dyDescent="0.35">
      <c r="A52" s="74" t="s">
        <v>275</v>
      </c>
      <c r="B52" s="74" t="s">
        <v>283</v>
      </c>
      <c r="C52" s="74" t="s">
        <v>284</v>
      </c>
      <c r="D52" s="74" t="s">
        <v>285</v>
      </c>
      <c r="E52" s="75" t="s">
        <v>303</v>
      </c>
      <c r="F52" s="76">
        <v>41711</v>
      </c>
      <c r="G52" s="76" t="s">
        <v>287</v>
      </c>
      <c r="H52" s="76" t="s">
        <v>311</v>
      </c>
      <c r="I52" s="74">
        <v>100</v>
      </c>
      <c r="J52" s="74">
        <v>1819</v>
      </c>
      <c r="K52" s="74">
        <v>847</v>
      </c>
      <c r="L52" s="74">
        <v>972</v>
      </c>
    </row>
    <row r="53" spans="1:12" x14ac:dyDescent="0.35">
      <c r="A53" s="74" t="s">
        <v>298</v>
      </c>
      <c r="B53" s="74" t="s">
        <v>283</v>
      </c>
      <c r="C53" s="74" t="s">
        <v>284</v>
      </c>
      <c r="D53" s="74" t="s">
        <v>285</v>
      </c>
      <c r="E53" s="75" t="s">
        <v>279</v>
      </c>
      <c r="F53" s="76">
        <v>41712</v>
      </c>
      <c r="G53" s="76" t="s">
        <v>308</v>
      </c>
      <c r="H53" s="76" t="s">
        <v>315</v>
      </c>
      <c r="I53" s="74">
        <v>1000</v>
      </c>
      <c r="J53" s="74">
        <v>24430</v>
      </c>
      <c r="K53" s="74">
        <v>10220</v>
      </c>
      <c r="L53" s="74">
        <v>14210</v>
      </c>
    </row>
    <row r="54" spans="1:12" x14ac:dyDescent="0.35">
      <c r="A54" s="74" t="s">
        <v>305</v>
      </c>
      <c r="B54" s="74" t="s">
        <v>126</v>
      </c>
      <c r="C54" s="74" t="s">
        <v>306</v>
      </c>
      <c r="D54" s="74" t="s">
        <v>307</v>
      </c>
      <c r="E54" s="75" t="s">
        <v>279</v>
      </c>
      <c r="F54" s="76">
        <v>41712</v>
      </c>
      <c r="G54" s="76" t="s">
        <v>308</v>
      </c>
      <c r="H54" s="76" t="s">
        <v>309</v>
      </c>
      <c r="I54" s="74">
        <v>500</v>
      </c>
      <c r="J54" s="74">
        <v>10935</v>
      </c>
      <c r="K54" s="74">
        <v>5110</v>
      </c>
      <c r="L54" s="74">
        <v>5825</v>
      </c>
    </row>
    <row r="55" spans="1:12" x14ac:dyDescent="0.35">
      <c r="A55" s="74" t="s">
        <v>289</v>
      </c>
      <c r="B55" s="74" t="s">
        <v>128</v>
      </c>
      <c r="C55" s="74" t="s">
        <v>299</v>
      </c>
      <c r="D55" s="74" t="s">
        <v>300</v>
      </c>
      <c r="E55" s="75" t="s">
        <v>303</v>
      </c>
      <c r="F55" s="76">
        <v>41714</v>
      </c>
      <c r="G55" s="76" t="s">
        <v>310</v>
      </c>
      <c r="H55" s="76" t="s">
        <v>324</v>
      </c>
      <c r="I55" s="74">
        <v>400</v>
      </c>
      <c r="J55" s="74">
        <v>8116</v>
      </c>
      <c r="K55" s="74">
        <v>3388</v>
      </c>
      <c r="L55" s="74">
        <v>4728</v>
      </c>
    </row>
    <row r="56" spans="1:12" x14ac:dyDescent="0.35">
      <c r="A56" s="74" t="s">
        <v>298</v>
      </c>
      <c r="B56" s="74" t="s">
        <v>283</v>
      </c>
      <c r="C56" s="74" t="s">
        <v>284</v>
      </c>
      <c r="D56" s="74" t="s">
        <v>285</v>
      </c>
      <c r="E56" s="75" t="s">
        <v>279</v>
      </c>
      <c r="F56" s="76">
        <v>41715</v>
      </c>
      <c r="G56" s="76" t="s">
        <v>318</v>
      </c>
      <c r="H56" s="76" t="s">
        <v>315</v>
      </c>
      <c r="I56" s="74">
        <v>900</v>
      </c>
      <c r="J56" s="74">
        <v>18783</v>
      </c>
      <c r="K56" s="74">
        <v>9198</v>
      </c>
      <c r="L56" s="74">
        <v>9585</v>
      </c>
    </row>
    <row r="57" spans="1:12" x14ac:dyDescent="0.35">
      <c r="A57" s="74" t="s">
        <v>305</v>
      </c>
      <c r="B57" s="74" t="s">
        <v>126</v>
      </c>
      <c r="C57" s="74" t="s">
        <v>306</v>
      </c>
      <c r="D57" s="74" t="s">
        <v>307</v>
      </c>
      <c r="E57" s="75" t="s">
        <v>303</v>
      </c>
      <c r="F57" s="76">
        <v>41717</v>
      </c>
      <c r="G57" s="76" t="s">
        <v>280</v>
      </c>
      <c r="H57" s="76" t="s">
        <v>309</v>
      </c>
      <c r="I57" s="74">
        <v>800</v>
      </c>
      <c r="J57" s="74">
        <v>16696</v>
      </c>
      <c r="K57" s="74">
        <v>6776</v>
      </c>
      <c r="L57" s="74">
        <v>9920</v>
      </c>
    </row>
    <row r="58" spans="1:12" x14ac:dyDescent="0.35">
      <c r="A58" s="74" t="s">
        <v>275</v>
      </c>
      <c r="B58" s="74" t="s">
        <v>283</v>
      </c>
      <c r="C58" s="74" t="s">
        <v>284</v>
      </c>
      <c r="D58" s="74" t="s">
        <v>285</v>
      </c>
      <c r="E58" s="75" t="s">
        <v>286</v>
      </c>
      <c r="F58" s="76">
        <v>41718</v>
      </c>
      <c r="G58" s="76" t="s">
        <v>287</v>
      </c>
      <c r="H58" s="76" t="s">
        <v>319</v>
      </c>
      <c r="I58" s="74">
        <v>400</v>
      </c>
      <c r="J58" s="74">
        <v>7132</v>
      </c>
      <c r="K58" s="74">
        <v>3388</v>
      </c>
      <c r="L58" s="74">
        <v>3744</v>
      </c>
    </row>
    <row r="59" spans="1:12" x14ac:dyDescent="0.35">
      <c r="A59" s="74" t="s">
        <v>275</v>
      </c>
      <c r="B59" s="74" t="s">
        <v>283</v>
      </c>
      <c r="C59" s="74" t="s">
        <v>284</v>
      </c>
      <c r="D59" s="74" t="s">
        <v>285</v>
      </c>
      <c r="E59" s="75" t="s">
        <v>279</v>
      </c>
      <c r="F59" s="76">
        <v>41719</v>
      </c>
      <c r="G59" s="76" t="s">
        <v>308</v>
      </c>
      <c r="H59" s="76" t="s">
        <v>319</v>
      </c>
      <c r="I59" s="74">
        <v>200</v>
      </c>
      <c r="J59" s="74">
        <v>4784</v>
      </c>
      <c r="K59" s="74">
        <v>2044</v>
      </c>
      <c r="L59" s="74">
        <v>2740</v>
      </c>
    </row>
    <row r="60" spans="1:12" x14ac:dyDescent="0.35">
      <c r="A60" s="74" t="s">
        <v>282</v>
      </c>
      <c r="B60" s="74" t="s">
        <v>126</v>
      </c>
      <c r="C60" s="74" t="s">
        <v>312</v>
      </c>
      <c r="D60" s="74" t="s">
        <v>313</v>
      </c>
      <c r="E60" s="75" t="s">
        <v>279</v>
      </c>
      <c r="F60" s="76">
        <v>41720</v>
      </c>
      <c r="G60" s="76" t="s">
        <v>292</v>
      </c>
      <c r="H60" s="76" t="s">
        <v>314</v>
      </c>
      <c r="I60" s="74">
        <v>300</v>
      </c>
      <c r="J60" s="74">
        <v>6765</v>
      </c>
      <c r="K60" s="74">
        <v>3066</v>
      </c>
      <c r="L60" s="74">
        <v>3699</v>
      </c>
    </row>
    <row r="61" spans="1:12" x14ac:dyDescent="0.35">
      <c r="A61" s="74" t="s">
        <v>305</v>
      </c>
      <c r="B61" s="74" t="s">
        <v>126</v>
      </c>
      <c r="C61" s="74" t="s">
        <v>306</v>
      </c>
      <c r="D61" s="74" t="s">
        <v>307</v>
      </c>
      <c r="E61" s="75" t="s">
        <v>303</v>
      </c>
      <c r="F61" s="76">
        <v>41721</v>
      </c>
      <c r="G61" s="76" t="s">
        <v>310</v>
      </c>
      <c r="H61" s="76" t="s">
        <v>309</v>
      </c>
      <c r="I61" s="74">
        <v>300</v>
      </c>
      <c r="J61" s="74">
        <v>5355</v>
      </c>
      <c r="K61" s="74">
        <v>2541</v>
      </c>
      <c r="L61" s="74">
        <v>2814</v>
      </c>
    </row>
    <row r="62" spans="1:12" x14ac:dyDescent="0.35">
      <c r="A62" s="74" t="s">
        <v>305</v>
      </c>
      <c r="B62" s="74" t="s">
        <v>126</v>
      </c>
      <c r="C62" s="74" t="s">
        <v>306</v>
      </c>
      <c r="D62" s="74" t="s">
        <v>307</v>
      </c>
      <c r="E62" s="75" t="s">
        <v>303</v>
      </c>
      <c r="F62" s="76">
        <v>41722</v>
      </c>
      <c r="G62" s="76" t="s">
        <v>318</v>
      </c>
      <c r="H62" s="76" t="s">
        <v>309</v>
      </c>
      <c r="I62" s="74">
        <v>200</v>
      </c>
      <c r="J62" s="74">
        <v>3756</v>
      </c>
      <c r="K62" s="74">
        <v>1694</v>
      </c>
      <c r="L62" s="74">
        <v>2062</v>
      </c>
    </row>
    <row r="63" spans="1:12" x14ac:dyDescent="0.35">
      <c r="A63" s="74" t="s">
        <v>275</v>
      </c>
      <c r="B63" s="74" t="s">
        <v>276</v>
      </c>
      <c r="C63" s="74" t="s">
        <v>277</v>
      </c>
      <c r="D63" s="74" t="s">
        <v>278</v>
      </c>
      <c r="E63" s="75" t="s">
        <v>286</v>
      </c>
      <c r="F63" s="76">
        <v>41723</v>
      </c>
      <c r="G63" s="76" t="s">
        <v>301</v>
      </c>
      <c r="H63" s="76" t="s">
        <v>304</v>
      </c>
      <c r="I63" s="74">
        <v>1000</v>
      </c>
      <c r="J63" s="74">
        <v>20090</v>
      </c>
      <c r="K63" s="74">
        <v>9840</v>
      </c>
      <c r="L63" s="74">
        <v>10250</v>
      </c>
    </row>
    <row r="64" spans="1:12" x14ac:dyDescent="0.35">
      <c r="A64" s="74" t="s">
        <v>275</v>
      </c>
      <c r="B64" s="74" t="s">
        <v>276</v>
      </c>
      <c r="C64" s="74" t="s">
        <v>277</v>
      </c>
      <c r="D64" s="74" t="s">
        <v>278</v>
      </c>
      <c r="E64" s="75" t="s">
        <v>279</v>
      </c>
      <c r="F64" s="76">
        <v>41724</v>
      </c>
      <c r="G64" s="76" t="s">
        <v>280</v>
      </c>
      <c r="H64" s="76" t="s">
        <v>281</v>
      </c>
      <c r="I64" s="74">
        <v>1000</v>
      </c>
      <c r="J64" s="74">
        <v>23090</v>
      </c>
      <c r="K64" s="74">
        <v>10220</v>
      </c>
      <c r="L64" s="74">
        <v>12870</v>
      </c>
    </row>
    <row r="65" spans="1:12" x14ac:dyDescent="0.35">
      <c r="A65" s="74" t="s">
        <v>282</v>
      </c>
      <c r="B65" s="74" t="s">
        <v>126</v>
      </c>
      <c r="C65" s="74" t="s">
        <v>312</v>
      </c>
      <c r="D65" s="74" t="s">
        <v>313</v>
      </c>
      <c r="E65" s="75" t="s">
        <v>286</v>
      </c>
      <c r="F65" s="76">
        <v>41726</v>
      </c>
      <c r="G65" s="76" t="s">
        <v>308</v>
      </c>
      <c r="H65" s="76" t="s">
        <v>314</v>
      </c>
      <c r="I65" s="74">
        <v>900</v>
      </c>
      <c r="J65" s="74">
        <v>21357</v>
      </c>
      <c r="K65" s="74">
        <v>8856</v>
      </c>
      <c r="L65" s="74">
        <v>12501</v>
      </c>
    </row>
    <row r="66" spans="1:12" x14ac:dyDescent="0.35">
      <c r="A66" s="74" t="s">
        <v>275</v>
      </c>
      <c r="B66" s="74" t="s">
        <v>276</v>
      </c>
      <c r="C66" s="74" t="s">
        <v>277</v>
      </c>
      <c r="D66" s="74" t="s">
        <v>278</v>
      </c>
      <c r="E66" s="75" t="s">
        <v>303</v>
      </c>
      <c r="F66" s="76">
        <v>41726</v>
      </c>
      <c r="G66" s="76" t="s">
        <v>308</v>
      </c>
      <c r="H66" s="76" t="s">
        <v>304</v>
      </c>
      <c r="I66" s="74">
        <v>300</v>
      </c>
      <c r="J66" s="74">
        <v>5358</v>
      </c>
      <c r="K66" s="74">
        <v>2541</v>
      </c>
      <c r="L66" s="74">
        <v>2817</v>
      </c>
    </row>
    <row r="67" spans="1:12" x14ac:dyDescent="0.35">
      <c r="A67" s="74" t="s">
        <v>275</v>
      </c>
      <c r="B67" s="74" t="s">
        <v>283</v>
      </c>
      <c r="C67" s="74" t="s">
        <v>284</v>
      </c>
      <c r="D67" s="74" t="s">
        <v>285</v>
      </c>
      <c r="E67" s="75" t="s">
        <v>286</v>
      </c>
      <c r="F67" s="76">
        <v>41728</v>
      </c>
      <c r="G67" s="76" t="s">
        <v>310</v>
      </c>
      <c r="H67" s="76" t="s">
        <v>319</v>
      </c>
      <c r="I67" s="74">
        <v>800</v>
      </c>
      <c r="J67" s="74">
        <v>16016</v>
      </c>
      <c r="K67" s="74">
        <v>7872</v>
      </c>
      <c r="L67" s="74">
        <v>8144</v>
      </c>
    </row>
    <row r="68" spans="1:12" x14ac:dyDescent="0.35">
      <c r="A68" s="74" t="s">
        <v>282</v>
      </c>
      <c r="B68" s="74" t="s">
        <v>126</v>
      </c>
      <c r="C68" s="74" t="s">
        <v>312</v>
      </c>
      <c r="D68" s="74" t="s">
        <v>313</v>
      </c>
      <c r="E68" s="75" t="s">
        <v>279</v>
      </c>
      <c r="F68" s="76">
        <v>41730</v>
      </c>
      <c r="G68" s="76" t="s">
        <v>301</v>
      </c>
      <c r="H68" s="76" t="s">
        <v>314</v>
      </c>
      <c r="I68" s="74">
        <v>600</v>
      </c>
      <c r="J68" s="74">
        <v>14448</v>
      </c>
      <c r="K68" s="74">
        <v>6132</v>
      </c>
      <c r="L68" s="74">
        <v>8316</v>
      </c>
    </row>
    <row r="69" spans="1:12" x14ac:dyDescent="0.35">
      <c r="A69" s="74" t="s">
        <v>282</v>
      </c>
      <c r="B69" s="74" t="s">
        <v>126</v>
      </c>
      <c r="C69" s="74" t="s">
        <v>312</v>
      </c>
      <c r="D69" s="74" t="s">
        <v>313</v>
      </c>
      <c r="E69" s="75" t="s">
        <v>303</v>
      </c>
      <c r="F69" s="76">
        <v>41731</v>
      </c>
      <c r="G69" s="76" t="s">
        <v>280</v>
      </c>
      <c r="H69" s="76" t="s">
        <v>314</v>
      </c>
      <c r="I69" s="74">
        <v>300</v>
      </c>
      <c r="J69" s="74">
        <v>5370</v>
      </c>
      <c r="K69" s="74">
        <v>2541</v>
      </c>
      <c r="L69" s="74">
        <v>2829</v>
      </c>
    </row>
    <row r="70" spans="1:12" x14ac:dyDescent="0.35">
      <c r="A70" s="74" t="s">
        <v>325</v>
      </c>
      <c r="B70" s="74" t="s">
        <v>276</v>
      </c>
      <c r="C70" s="74" t="s">
        <v>326</v>
      </c>
      <c r="D70" s="74" t="s">
        <v>327</v>
      </c>
      <c r="E70" s="75" t="s">
        <v>279</v>
      </c>
      <c r="F70" s="76">
        <v>41733</v>
      </c>
      <c r="G70" s="76" t="s">
        <v>308</v>
      </c>
      <c r="H70" s="76" t="s">
        <v>328</v>
      </c>
      <c r="I70" s="74">
        <v>800</v>
      </c>
      <c r="J70" s="74">
        <v>20408</v>
      </c>
      <c r="K70" s="74">
        <v>8176</v>
      </c>
      <c r="L70" s="74">
        <v>12232</v>
      </c>
    </row>
    <row r="71" spans="1:12" x14ac:dyDescent="0.35">
      <c r="A71" s="74" t="s">
        <v>289</v>
      </c>
      <c r="B71" s="74" t="s">
        <v>126</v>
      </c>
      <c r="C71" s="74" t="s">
        <v>290</v>
      </c>
      <c r="D71" s="74" t="s">
        <v>291</v>
      </c>
      <c r="E71" s="75" t="s">
        <v>286</v>
      </c>
      <c r="F71" s="76">
        <v>41733</v>
      </c>
      <c r="G71" s="76" t="s">
        <v>308</v>
      </c>
      <c r="H71" s="76" t="s">
        <v>323</v>
      </c>
      <c r="I71" s="74">
        <v>400</v>
      </c>
      <c r="J71" s="74">
        <v>8632</v>
      </c>
      <c r="K71" s="74">
        <v>3936</v>
      </c>
      <c r="L71" s="74">
        <v>4696</v>
      </c>
    </row>
    <row r="72" spans="1:12" x14ac:dyDescent="0.35">
      <c r="A72" s="74" t="s">
        <v>289</v>
      </c>
      <c r="B72" s="74" t="s">
        <v>126</v>
      </c>
      <c r="C72" s="74" t="s">
        <v>290</v>
      </c>
      <c r="D72" s="74" t="s">
        <v>291</v>
      </c>
      <c r="E72" s="75" t="s">
        <v>286</v>
      </c>
      <c r="F72" s="76">
        <v>41733</v>
      </c>
      <c r="G72" s="76" t="s">
        <v>308</v>
      </c>
      <c r="H72" s="76" t="s">
        <v>323</v>
      </c>
      <c r="I72" s="74">
        <v>300</v>
      </c>
      <c r="J72" s="74">
        <v>6588</v>
      </c>
      <c r="K72" s="74">
        <v>2952</v>
      </c>
      <c r="L72" s="74">
        <v>3636</v>
      </c>
    </row>
    <row r="73" spans="1:12" x14ac:dyDescent="0.35">
      <c r="A73" s="74" t="s">
        <v>282</v>
      </c>
      <c r="B73" s="74" t="s">
        <v>283</v>
      </c>
      <c r="C73" s="74" t="s">
        <v>284</v>
      </c>
      <c r="D73" s="74" t="s">
        <v>285</v>
      </c>
      <c r="E73" s="75" t="s">
        <v>279</v>
      </c>
      <c r="F73" s="76">
        <v>41734</v>
      </c>
      <c r="G73" s="76" t="s">
        <v>292</v>
      </c>
      <c r="H73" s="76" t="s">
        <v>288</v>
      </c>
      <c r="I73" s="74">
        <v>100</v>
      </c>
      <c r="J73" s="74">
        <v>2466</v>
      </c>
      <c r="K73" s="74">
        <v>1022</v>
      </c>
      <c r="L73" s="74">
        <v>1444</v>
      </c>
    </row>
    <row r="74" spans="1:12" x14ac:dyDescent="0.35">
      <c r="A74" s="74" t="s">
        <v>298</v>
      </c>
      <c r="B74" s="74" t="s">
        <v>126</v>
      </c>
      <c r="C74" s="74" t="s">
        <v>329</v>
      </c>
      <c r="D74" s="74" t="s">
        <v>330</v>
      </c>
      <c r="E74" s="75" t="s">
        <v>303</v>
      </c>
      <c r="F74" s="76">
        <v>41736</v>
      </c>
      <c r="G74" s="76" t="s">
        <v>318</v>
      </c>
      <c r="H74" s="76" t="s">
        <v>331</v>
      </c>
      <c r="I74" s="74">
        <v>700</v>
      </c>
      <c r="J74" s="74">
        <v>14686</v>
      </c>
      <c r="K74" s="74">
        <v>5929</v>
      </c>
      <c r="L74" s="74">
        <v>8757</v>
      </c>
    </row>
    <row r="75" spans="1:12" x14ac:dyDescent="0.35">
      <c r="A75" s="74" t="s">
        <v>275</v>
      </c>
      <c r="B75" s="74" t="s">
        <v>283</v>
      </c>
      <c r="C75" s="74" t="s">
        <v>284</v>
      </c>
      <c r="D75" s="74" t="s">
        <v>285</v>
      </c>
      <c r="E75" s="75" t="s">
        <v>286</v>
      </c>
      <c r="F75" s="76">
        <v>41736</v>
      </c>
      <c r="G75" s="76" t="s">
        <v>318</v>
      </c>
      <c r="H75" s="76" t="s">
        <v>319</v>
      </c>
      <c r="I75" s="74">
        <v>300</v>
      </c>
      <c r="J75" s="74">
        <v>5886</v>
      </c>
      <c r="K75" s="74">
        <v>2541</v>
      </c>
      <c r="L75" s="74">
        <v>3345</v>
      </c>
    </row>
    <row r="76" spans="1:12" x14ac:dyDescent="0.35">
      <c r="A76" s="74" t="s">
        <v>289</v>
      </c>
      <c r="B76" s="74" t="s">
        <v>126</v>
      </c>
      <c r="C76" s="74" t="s">
        <v>290</v>
      </c>
      <c r="D76" s="74" t="s">
        <v>291</v>
      </c>
      <c r="E76" s="75" t="s">
        <v>286</v>
      </c>
      <c r="F76" s="76">
        <v>41739</v>
      </c>
      <c r="G76" s="76" t="s">
        <v>287</v>
      </c>
      <c r="H76" s="76" t="s">
        <v>323</v>
      </c>
      <c r="I76" s="74">
        <v>500</v>
      </c>
      <c r="J76" s="74">
        <v>12095</v>
      </c>
      <c r="K76" s="74">
        <v>4920</v>
      </c>
      <c r="L76" s="74">
        <v>7175</v>
      </c>
    </row>
    <row r="77" spans="1:12" x14ac:dyDescent="0.35">
      <c r="A77" s="74" t="s">
        <v>275</v>
      </c>
      <c r="B77" s="74" t="s">
        <v>283</v>
      </c>
      <c r="C77" s="74" t="s">
        <v>284</v>
      </c>
      <c r="D77" s="74" t="s">
        <v>285</v>
      </c>
      <c r="E77" s="75" t="s">
        <v>279</v>
      </c>
      <c r="F77" s="76">
        <v>41740</v>
      </c>
      <c r="G77" s="76" t="s">
        <v>308</v>
      </c>
      <c r="H77" s="76" t="s">
        <v>311</v>
      </c>
      <c r="I77" s="74">
        <v>900</v>
      </c>
      <c r="J77" s="74">
        <v>19539</v>
      </c>
      <c r="K77" s="74">
        <v>9198</v>
      </c>
      <c r="L77" s="74">
        <v>10341</v>
      </c>
    </row>
    <row r="78" spans="1:12" x14ac:dyDescent="0.35">
      <c r="A78" s="74" t="s">
        <v>275</v>
      </c>
      <c r="B78" s="74" t="s">
        <v>283</v>
      </c>
      <c r="C78" s="74" t="s">
        <v>284</v>
      </c>
      <c r="D78" s="74" t="s">
        <v>285</v>
      </c>
      <c r="E78" s="75" t="s">
        <v>286</v>
      </c>
      <c r="F78" s="76">
        <v>41741</v>
      </c>
      <c r="G78" s="76" t="s">
        <v>292</v>
      </c>
      <c r="H78" s="76" t="s">
        <v>319</v>
      </c>
      <c r="I78" s="74">
        <v>300</v>
      </c>
      <c r="J78" s="74">
        <v>6063</v>
      </c>
      <c r="K78" s="74">
        <v>2541</v>
      </c>
      <c r="L78" s="74">
        <v>3522</v>
      </c>
    </row>
    <row r="79" spans="1:12" x14ac:dyDescent="0.35">
      <c r="A79" s="74" t="s">
        <v>275</v>
      </c>
      <c r="B79" s="74" t="s">
        <v>283</v>
      </c>
      <c r="C79" s="74" t="s">
        <v>284</v>
      </c>
      <c r="D79" s="74" t="s">
        <v>285</v>
      </c>
      <c r="E79" s="75" t="s">
        <v>286</v>
      </c>
      <c r="F79" s="76">
        <v>41742</v>
      </c>
      <c r="G79" s="76" t="s">
        <v>310</v>
      </c>
      <c r="H79" s="76" t="s">
        <v>319</v>
      </c>
      <c r="I79" s="74">
        <v>600</v>
      </c>
      <c r="J79" s="74">
        <v>11598</v>
      </c>
      <c r="K79" s="74">
        <v>5082</v>
      </c>
      <c r="L79" s="74">
        <v>6516</v>
      </c>
    </row>
    <row r="80" spans="1:12" x14ac:dyDescent="0.35">
      <c r="A80" s="74" t="s">
        <v>298</v>
      </c>
      <c r="B80" s="74" t="s">
        <v>283</v>
      </c>
      <c r="C80" s="74" t="s">
        <v>284</v>
      </c>
      <c r="D80" s="74" t="s">
        <v>285</v>
      </c>
      <c r="E80" s="75" t="s">
        <v>303</v>
      </c>
      <c r="F80" s="76">
        <v>41743</v>
      </c>
      <c r="G80" s="76" t="s">
        <v>318</v>
      </c>
      <c r="H80" s="76" t="s">
        <v>315</v>
      </c>
      <c r="I80" s="74">
        <v>400</v>
      </c>
      <c r="J80" s="74">
        <v>8016</v>
      </c>
      <c r="K80" s="74">
        <v>3388</v>
      </c>
      <c r="L80" s="74">
        <v>4628</v>
      </c>
    </row>
    <row r="81" spans="1:12" x14ac:dyDescent="0.35">
      <c r="A81" s="74" t="s">
        <v>282</v>
      </c>
      <c r="B81" s="74" t="s">
        <v>283</v>
      </c>
      <c r="C81" s="74" t="s">
        <v>284</v>
      </c>
      <c r="D81" s="74" t="s">
        <v>285</v>
      </c>
      <c r="E81" s="75" t="s">
        <v>279</v>
      </c>
      <c r="F81" s="76">
        <v>41749</v>
      </c>
      <c r="G81" s="76" t="s">
        <v>310</v>
      </c>
      <c r="H81" s="76" t="s">
        <v>288</v>
      </c>
      <c r="I81" s="74">
        <v>1000</v>
      </c>
      <c r="J81" s="74">
        <v>21880</v>
      </c>
      <c r="K81" s="74">
        <v>10220</v>
      </c>
      <c r="L81" s="74">
        <v>11660</v>
      </c>
    </row>
    <row r="82" spans="1:12" x14ac:dyDescent="0.35">
      <c r="A82" s="74" t="s">
        <v>294</v>
      </c>
      <c r="B82" s="74" t="s">
        <v>128</v>
      </c>
      <c r="C82" s="74" t="s">
        <v>299</v>
      </c>
      <c r="D82" s="74" t="s">
        <v>300</v>
      </c>
      <c r="E82" s="75" t="s">
        <v>316</v>
      </c>
      <c r="F82" s="76">
        <v>41749</v>
      </c>
      <c r="G82" s="76" t="s">
        <v>310</v>
      </c>
      <c r="H82" s="76" t="s">
        <v>332</v>
      </c>
      <c r="I82" s="74">
        <v>200</v>
      </c>
      <c r="J82" s="74">
        <v>4948</v>
      </c>
      <c r="K82" s="74">
        <v>2044</v>
      </c>
      <c r="L82" s="74">
        <v>2904</v>
      </c>
    </row>
    <row r="83" spans="1:12" x14ac:dyDescent="0.35">
      <c r="A83" s="74" t="s">
        <v>305</v>
      </c>
      <c r="B83" s="74" t="s">
        <v>126</v>
      </c>
      <c r="C83" s="74" t="s">
        <v>306</v>
      </c>
      <c r="D83" s="74" t="s">
        <v>307</v>
      </c>
      <c r="E83" s="75" t="s">
        <v>279</v>
      </c>
      <c r="F83" s="76">
        <v>41751</v>
      </c>
      <c r="G83" s="76" t="s">
        <v>301</v>
      </c>
      <c r="H83" s="76" t="s">
        <v>309</v>
      </c>
      <c r="I83" s="74">
        <v>700</v>
      </c>
      <c r="J83" s="74">
        <v>15834</v>
      </c>
      <c r="K83" s="74">
        <v>7154</v>
      </c>
      <c r="L83" s="74">
        <v>8680</v>
      </c>
    </row>
    <row r="84" spans="1:12" x14ac:dyDescent="0.35">
      <c r="A84" s="74" t="s">
        <v>275</v>
      </c>
      <c r="B84" s="74" t="s">
        <v>276</v>
      </c>
      <c r="C84" s="74" t="s">
        <v>277</v>
      </c>
      <c r="D84" s="74" t="s">
        <v>278</v>
      </c>
      <c r="E84" s="75" t="s">
        <v>286</v>
      </c>
      <c r="F84" s="76">
        <v>41752</v>
      </c>
      <c r="G84" s="76" t="s">
        <v>280</v>
      </c>
      <c r="H84" s="76" t="s">
        <v>281</v>
      </c>
      <c r="I84" s="74">
        <v>100</v>
      </c>
      <c r="J84" s="74">
        <v>2457</v>
      </c>
      <c r="K84" s="74">
        <v>984</v>
      </c>
      <c r="L84" s="74">
        <v>1473</v>
      </c>
    </row>
    <row r="85" spans="1:12" x14ac:dyDescent="0.35">
      <c r="A85" s="74" t="s">
        <v>289</v>
      </c>
      <c r="B85" s="74" t="s">
        <v>126</v>
      </c>
      <c r="C85" s="74" t="s">
        <v>290</v>
      </c>
      <c r="D85" s="74" t="s">
        <v>291</v>
      </c>
      <c r="E85" s="75" t="s">
        <v>303</v>
      </c>
      <c r="F85" s="76">
        <v>41753</v>
      </c>
      <c r="G85" s="76" t="s">
        <v>287</v>
      </c>
      <c r="H85" s="76" t="s">
        <v>323</v>
      </c>
      <c r="I85" s="74">
        <v>300</v>
      </c>
      <c r="J85" s="74">
        <v>5439</v>
      </c>
      <c r="K85" s="74">
        <v>2541</v>
      </c>
      <c r="L85" s="74">
        <v>2898</v>
      </c>
    </row>
    <row r="86" spans="1:12" x14ac:dyDescent="0.35">
      <c r="A86" s="74" t="s">
        <v>305</v>
      </c>
      <c r="B86" s="74" t="s">
        <v>126</v>
      </c>
      <c r="C86" s="74" t="s">
        <v>306</v>
      </c>
      <c r="D86" s="74" t="s">
        <v>307</v>
      </c>
      <c r="E86" s="75" t="s">
        <v>286</v>
      </c>
      <c r="F86" s="76">
        <v>41754</v>
      </c>
      <c r="G86" s="76" t="s">
        <v>308</v>
      </c>
      <c r="H86" s="76" t="s">
        <v>309</v>
      </c>
      <c r="I86" s="74">
        <v>500</v>
      </c>
      <c r="J86" s="74">
        <v>11435</v>
      </c>
      <c r="K86" s="74">
        <v>4920</v>
      </c>
      <c r="L86" s="74">
        <v>6515</v>
      </c>
    </row>
    <row r="87" spans="1:12" x14ac:dyDescent="0.35">
      <c r="A87" s="74" t="s">
        <v>275</v>
      </c>
      <c r="B87" s="74" t="s">
        <v>276</v>
      </c>
      <c r="C87" s="74" t="s">
        <v>277</v>
      </c>
      <c r="D87" s="74" t="s">
        <v>278</v>
      </c>
      <c r="E87" s="75" t="s">
        <v>279</v>
      </c>
      <c r="F87" s="76">
        <v>41756</v>
      </c>
      <c r="G87" s="76" t="s">
        <v>310</v>
      </c>
      <c r="H87" s="76" t="s">
        <v>304</v>
      </c>
      <c r="I87" s="74">
        <v>1000</v>
      </c>
      <c r="J87" s="74">
        <v>22530</v>
      </c>
      <c r="K87" s="74">
        <v>10220</v>
      </c>
      <c r="L87" s="74">
        <v>12310</v>
      </c>
    </row>
    <row r="88" spans="1:12" x14ac:dyDescent="0.35">
      <c r="A88" s="74" t="s">
        <v>275</v>
      </c>
      <c r="B88" s="74" t="s">
        <v>276</v>
      </c>
      <c r="C88" s="74" t="s">
        <v>277</v>
      </c>
      <c r="D88" s="74" t="s">
        <v>278</v>
      </c>
      <c r="E88" s="75" t="s">
        <v>279</v>
      </c>
      <c r="F88" s="76">
        <v>41757</v>
      </c>
      <c r="G88" s="76" t="s">
        <v>318</v>
      </c>
      <c r="H88" s="76" t="s">
        <v>281</v>
      </c>
      <c r="I88" s="74">
        <v>1000</v>
      </c>
      <c r="J88" s="74">
        <v>25060</v>
      </c>
      <c r="K88" s="74">
        <v>10220</v>
      </c>
      <c r="L88" s="74">
        <v>14840</v>
      </c>
    </row>
    <row r="89" spans="1:12" x14ac:dyDescent="0.35">
      <c r="A89" s="74" t="s">
        <v>289</v>
      </c>
      <c r="B89" s="74" t="s">
        <v>126</v>
      </c>
      <c r="C89" s="74" t="s">
        <v>290</v>
      </c>
      <c r="D89" s="74" t="s">
        <v>291</v>
      </c>
      <c r="E89" s="75" t="s">
        <v>279</v>
      </c>
      <c r="F89" s="76">
        <v>41758</v>
      </c>
      <c r="G89" s="76" t="s">
        <v>301</v>
      </c>
      <c r="H89" s="76" t="s">
        <v>333</v>
      </c>
      <c r="I89" s="74">
        <v>800</v>
      </c>
      <c r="J89" s="74">
        <v>18264</v>
      </c>
      <c r="K89" s="74">
        <v>8176</v>
      </c>
      <c r="L89" s="74">
        <v>10088</v>
      </c>
    </row>
    <row r="90" spans="1:12" x14ac:dyDescent="0.35">
      <c r="A90" s="74" t="s">
        <v>282</v>
      </c>
      <c r="B90" s="74" t="s">
        <v>126</v>
      </c>
      <c r="C90" s="74" t="s">
        <v>312</v>
      </c>
      <c r="D90" s="74" t="s">
        <v>313</v>
      </c>
      <c r="E90" s="75" t="s">
        <v>279</v>
      </c>
      <c r="F90" s="76">
        <v>41759</v>
      </c>
      <c r="G90" s="76" t="s">
        <v>280</v>
      </c>
      <c r="H90" s="76" t="s">
        <v>314</v>
      </c>
      <c r="I90" s="74">
        <v>200</v>
      </c>
      <c r="J90" s="74">
        <v>4124</v>
      </c>
      <c r="K90" s="74">
        <v>2044</v>
      </c>
      <c r="L90" s="74">
        <v>2080</v>
      </c>
    </row>
    <row r="91" spans="1:12" x14ac:dyDescent="0.35">
      <c r="A91" s="74" t="s">
        <v>275</v>
      </c>
      <c r="B91" s="74" t="s">
        <v>276</v>
      </c>
      <c r="C91" s="74" t="s">
        <v>277</v>
      </c>
      <c r="D91" s="74" t="s">
        <v>278</v>
      </c>
      <c r="E91" s="75" t="s">
        <v>303</v>
      </c>
      <c r="F91" s="76">
        <v>41760</v>
      </c>
      <c r="G91" s="76" t="s">
        <v>287</v>
      </c>
      <c r="H91" s="76" t="s">
        <v>281</v>
      </c>
      <c r="I91" s="74">
        <v>200</v>
      </c>
      <c r="J91" s="74">
        <v>3802</v>
      </c>
      <c r="K91" s="74">
        <v>1694</v>
      </c>
      <c r="L91" s="74">
        <v>2108</v>
      </c>
    </row>
    <row r="92" spans="1:12" x14ac:dyDescent="0.35">
      <c r="A92" s="74" t="s">
        <v>305</v>
      </c>
      <c r="B92" s="74" t="s">
        <v>276</v>
      </c>
      <c r="C92" s="74" t="s">
        <v>326</v>
      </c>
      <c r="D92" s="74" t="s">
        <v>327</v>
      </c>
      <c r="E92" s="75" t="s">
        <v>286</v>
      </c>
      <c r="F92" s="76">
        <v>41760</v>
      </c>
      <c r="G92" s="76" t="s">
        <v>287</v>
      </c>
      <c r="H92" s="76" t="s">
        <v>334</v>
      </c>
      <c r="I92" s="74">
        <v>800</v>
      </c>
      <c r="J92" s="74">
        <v>19520</v>
      </c>
      <c r="K92" s="74">
        <v>7872</v>
      </c>
      <c r="L92" s="74">
        <v>11648</v>
      </c>
    </row>
    <row r="93" spans="1:12" x14ac:dyDescent="0.35">
      <c r="A93" s="74" t="s">
        <v>298</v>
      </c>
      <c r="B93" s="74" t="s">
        <v>126</v>
      </c>
      <c r="C93" s="74" t="s">
        <v>329</v>
      </c>
      <c r="D93" s="74" t="s">
        <v>330</v>
      </c>
      <c r="E93" s="75" t="s">
        <v>279</v>
      </c>
      <c r="F93" s="76">
        <v>41762</v>
      </c>
      <c r="G93" s="76" t="s">
        <v>292</v>
      </c>
      <c r="H93" s="76" t="s">
        <v>331</v>
      </c>
      <c r="I93" s="74">
        <v>800</v>
      </c>
      <c r="J93" s="74">
        <v>19288</v>
      </c>
      <c r="K93" s="74">
        <v>8176</v>
      </c>
      <c r="L93" s="74">
        <v>11112</v>
      </c>
    </row>
    <row r="94" spans="1:12" x14ac:dyDescent="0.35">
      <c r="A94" s="74" t="s">
        <v>282</v>
      </c>
      <c r="B94" s="74" t="s">
        <v>126</v>
      </c>
      <c r="C94" s="74" t="s">
        <v>312</v>
      </c>
      <c r="D94" s="74" t="s">
        <v>313</v>
      </c>
      <c r="E94" s="75" t="s">
        <v>303</v>
      </c>
      <c r="F94" s="76">
        <v>41764</v>
      </c>
      <c r="G94" s="76" t="s">
        <v>318</v>
      </c>
      <c r="H94" s="76" t="s">
        <v>314</v>
      </c>
      <c r="I94" s="74">
        <v>800</v>
      </c>
      <c r="J94" s="74">
        <v>15592</v>
      </c>
      <c r="K94" s="74">
        <v>6776</v>
      </c>
      <c r="L94" s="74">
        <v>8816</v>
      </c>
    </row>
    <row r="95" spans="1:12" x14ac:dyDescent="0.35">
      <c r="A95" s="74" t="s">
        <v>298</v>
      </c>
      <c r="B95" s="74" t="s">
        <v>126</v>
      </c>
      <c r="C95" s="74" t="s">
        <v>329</v>
      </c>
      <c r="D95" s="74" t="s">
        <v>330</v>
      </c>
      <c r="E95" s="75" t="s">
        <v>279</v>
      </c>
      <c r="F95" s="76">
        <v>41764</v>
      </c>
      <c r="G95" s="76" t="s">
        <v>318</v>
      </c>
      <c r="H95" s="76" t="s">
        <v>331</v>
      </c>
      <c r="I95" s="74">
        <v>300</v>
      </c>
      <c r="J95" s="74">
        <v>6867</v>
      </c>
      <c r="K95" s="74">
        <v>3066</v>
      </c>
      <c r="L95" s="74">
        <v>3801</v>
      </c>
    </row>
    <row r="96" spans="1:12" x14ac:dyDescent="0.35">
      <c r="A96" s="74" t="s">
        <v>282</v>
      </c>
      <c r="B96" s="74" t="s">
        <v>126</v>
      </c>
      <c r="C96" s="74" t="s">
        <v>312</v>
      </c>
      <c r="D96" s="74" t="s">
        <v>313</v>
      </c>
      <c r="E96" s="75" t="s">
        <v>303</v>
      </c>
      <c r="F96" s="76">
        <v>41766</v>
      </c>
      <c r="G96" s="76" t="s">
        <v>280</v>
      </c>
      <c r="H96" s="76" t="s">
        <v>314</v>
      </c>
      <c r="I96" s="74">
        <v>600</v>
      </c>
      <c r="J96" s="74">
        <v>12318</v>
      </c>
      <c r="K96" s="74">
        <v>5082</v>
      </c>
      <c r="L96" s="74">
        <v>7236</v>
      </c>
    </row>
    <row r="97" spans="1:12" x14ac:dyDescent="0.35">
      <c r="A97" s="74" t="s">
        <v>298</v>
      </c>
      <c r="B97" s="74" t="s">
        <v>126</v>
      </c>
      <c r="C97" s="74" t="s">
        <v>329</v>
      </c>
      <c r="D97" s="74" t="s">
        <v>330</v>
      </c>
      <c r="E97" s="75" t="s">
        <v>286</v>
      </c>
      <c r="F97" s="76">
        <v>41766</v>
      </c>
      <c r="G97" s="76" t="s">
        <v>280</v>
      </c>
      <c r="H97" s="76" t="s">
        <v>331</v>
      </c>
      <c r="I97" s="74">
        <v>400</v>
      </c>
      <c r="J97" s="74">
        <v>8052</v>
      </c>
      <c r="K97" s="74">
        <v>3936</v>
      </c>
      <c r="L97" s="74">
        <v>4116</v>
      </c>
    </row>
    <row r="98" spans="1:12" x14ac:dyDescent="0.35">
      <c r="A98" s="74" t="s">
        <v>305</v>
      </c>
      <c r="B98" s="74" t="s">
        <v>126</v>
      </c>
      <c r="C98" s="74" t="s">
        <v>306</v>
      </c>
      <c r="D98" s="74" t="s">
        <v>307</v>
      </c>
      <c r="E98" s="75" t="s">
        <v>286</v>
      </c>
      <c r="F98" s="76">
        <v>41767</v>
      </c>
      <c r="G98" s="76" t="s">
        <v>287</v>
      </c>
      <c r="H98" s="76" t="s">
        <v>309</v>
      </c>
      <c r="I98" s="74">
        <v>800</v>
      </c>
      <c r="J98" s="74">
        <v>17544</v>
      </c>
      <c r="K98" s="74">
        <v>7872</v>
      </c>
      <c r="L98" s="74">
        <v>9672</v>
      </c>
    </row>
    <row r="99" spans="1:12" x14ac:dyDescent="0.35">
      <c r="A99" s="74" t="s">
        <v>275</v>
      </c>
      <c r="B99" s="74" t="s">
        <v>283</v>
      </c>
      <c r="C99" s="74" t="s">
        <v>284</v>
      </c>
      <c r="D99" s="74" t="s">
        <v>285</v>
      </c>
      <c r="E99" s="75" t="s">
        <v>286</v>
      </c>
      <c r="F99" s="76">
        <v>41768</v>
      </c>
      <c r="G99" s="76" t="s">
        <v>308</v>
      </c>
      <c r="H99" s="76" t="s">
        <v>311</v>
      </c>
      <c r="I99" s="74">
        <v>700</v>
      </c>
      <c r="J99" s="74">
        <v>16765</v>
      </c>
      <c r="K99" s="74">
        <v>6888</v>
      </c>
      <c r="L99" s="74">
        <v>9877</v>
      </c>
    </row>
    <row r="100" spans="1:12" x14ac:dyDescent="0.35">
      <c r="A100" s="74" t="s">
        <v>289</v>
      </c>
      <c r="B100" s="74" t="s">
        <v>126</v>
      </c>
      <c r="C100" s="74" t="s">
        <v>290</v>
      </c>
      <c r="D100" s="74" t="s">
        <v>291</v>
      </c>
      <c r="E100" s="75" t="s">
        <v>303</v>
      </c>
      <c r="F100" s="76">
        <v>41770</v>
      </c>
      <c r="G100" s="76" t="s">
        <v>310</v>
      </c>
      <c r="H100" s="76" t="s">
        <v>323</v>
      </c>
      <c r="I100" s="74">
        <v>500</v>
      </c>
      <c r="J100" s="74">
        <v>8785</v>
      </c>
      <c r="K100" s="74">
        <v>4235</v>
      </c>
      <c r="L100" s="74">
        <v>4550</v>
      </c>
    </row>
    <row r="101" spans="1:12" x14ac:dyDescent="0.35">
      <c r="A101" s="74" t="s">
        <v>305</v>
      </c>
      <c r="B101" s="74" t="s">
        <v>126</v>
      </c>
      <c r="C101" s="74" t="s">
        <v>306</v>
      </c>
      <c r="D101" s="74" t="s">
        <v>307</v>
      </c>
      <c r="E101" s="75" t="s">
        <v>286</v>
      </c>
      <c r="F101" s="76">
        <v>41771</v>
      </c>
      <c r="G101" s="76" t="s">
        <v>318</v>
      </c>
      <c r="H101" s="76" t="s">
        <v>309</v>
      </c>
      <c r="I101" s="74">
        <v>700</v>
      </c>
      <c r="J101" s="74">
        <v>16772</v>
      </c>
      <c r="K101" s="74">
        <v>6888</v>
      </c>
      <c r="L101" s="74">
        <v>9884</v>
      </c>
    </row>
    <row r="102" spans="1:12" x14ac:dyDescent="0.35">
      <c r="A102" s="74" t="s">
        <v>275</v>
      </c>
      <c r="B102" s="74" t="s">
        <v>283</v>
      </c>
      <c r="C102" s="74" t="s">
        <v>284</v>
      </c>
      <c r="D102" s="74" t="s">
        <v>285</v>
      </c>
      <c r="E102" s="75" t="s">
        <v>286</v>
      </c>
      <c r="F102" s="76">
        <v>41772</v>
      </c>
      <c r="G102" s="76" t="s">
        <v>301</v>
      </c>
      <c r="H102" s="76" t="s">
        <v>319</v>
      </c>
      <c r="I102" s="74">
        <v>500</v>
      </c>
      <c r="J102" s="74">
        <v>9380</v>
      </c>
      <c r="K102" s="74">
        <v>4235</v>
      </c>
      <c r="L102" s="74">
        <v>5145</v>
      </c>
    </row>
    <row r="103" spans="1:12" x14ac:dyDescent="0.35">
      <c r="A103" s="74" t="s">
        <v>305</v>
      </c>
      <c r="B103" s="74" t="s">
        <v>126</v>
      </c>
      <c r="C103" s="74" t="s">
        <v>306</v>
      </c>
      <c r="D103" s="74" t="s">
        <v>307</v>
      </c>
      <c r="E103" s="75" t="s">
        <v>279</v>
      </c>
      <c r="F103" s="76">
        <v>41772</v>
      </c>
      <c r="G103" s="76" t="s">
        <v>301</v>
      </c>
      <c r="H103" s="76" t="s">
        <v>309</v>
      </c>
      <c r="I103" s="74">
        <v>500</v>
      </c>
      <c r="J103" s="74">
        <v>12625</v>
      </c>
      <c r="K103" s="74">
        <v>5110</v>
      </c>
      <c r="L103" s="74">
        <v>7515</v>
      </c>
    </row>
    <row r="104" spans="1:12" x14ac:dyDescent="0.35">
      <c r="A104" s="74" t="s">
        <v>275</v>
      </c>
      <c r="B104" s="74" t="s">
        <v>276</v>
      </c>
      <c r="C104" s="74" t="s">
        <v>320</v>
      </c>
      <c r="D104" s="74" t="s">
        <v>321</v>
      </c>
      <c r="E104" s="75" t="s">
        <v>303</v>
      </c>
      <c r="F104" s="76">
        <v>41773</v>
      </c>
      <c r="G104" s="76" t="s">
        <v>280</v>
      </c>
      <c r="H104" s="76" t="s">
        <v>322</v>
      </c>
      <c r="I104" s="74">
        <v>500</v>
      </c>
      <c r="J104" s="74">
        <v>9635</v>
      </c>
      <c r="K104" s="74">
        <v>4235</v>
      </c>
      <c r="L104" s="74">
        <v>5400</v>
      </c>
    </row>
    <row r="105" spans="1:12" x14ac:dyDescent="0.35">
      <c r="A105" s="74" t="s">
        <v>298</v>
      </c>
      <c r="B105" s="74" t="s">
        <v>126</v>
      </c>
      <c r="C105" s="74" t="s">
        <v>329</v>
      </c>
      <c r="D105" s="74" t="s">
        <v>330</v>
      </c>
      <c r="E105" s="75" t="s">
        <v>286</v>
      </c>
      <c r="F105" s="76">
        <v>41775</v>
      </c>
      <c r="G105" s="76" t="s">
        <v>308</v>
      </c>
      <c r="H105" s="76" t="s">
        <v>331</v>
      </c>
      <c r="I105" s="74">
        <v>300</v>
      </c>
      <c r="J105" s="74">
        <v>6156</v>
      </c>
      <c r="K105" s="74">
        <v>2952</v>
      </c>
      <c r="L105" s="74">
        <v>3204</v>
      </c>
    </row>
    <row r="106" spans="1:12" x14ac:dyDescent="0.35">
      <c r="A106" s="74" t="s">
        <v>325</v>
      </c>
      <c r="B106" s="74" t="s">
        <v>276</v>
      </c>
      <c r="C106" s="74" t="s">
        <v>326</v>
      </c>
      <c r="D106" s="74" t="s">
        <v>327</v>
      </c>
      <c r="E106" s="75" t="s">
        <v>286</v>
      </c>
      <c r="F106" s="76">
        <v>41778</v>
      </c>
      <c r="G106" s="76" t="s">
        <v>318</v>
      </c>
      <c r="H106" s="76" t="s">
        <v>328</v>
      </c>
      <c r="I106" s="74">
        <v>900</v>
      </c>
      <c r="J106" s="74">
        <v>17757</v>
      </c>
      <c r="K106" s="74">
        <v>8856</v>
      </c>
      <c r="L106" s="74">
        <v>8901</v>
      </c>
    </row>
    <row r="107" spans="1:12" x14ac:dyDescent="0.35">
      <c r="A107" s="74" t="s">
        <v>275</v>
      </c>
      <c r="B107" s="74" t="s">
        <v>128</v>
      </c>
      <c r="C107" s="74" t="s">
        <v>299</v>
      </c>
      <c r="D107" s="74" t="s">
        <v>300</v>
      </c>
      <c r="E107" s="75" t="s">
        <v>279</v>
      </c>
      <c r="F107" s="76">
        <v>41779</v>
      </c>
      <c r="G107" s="76" t="s">
        <v>301</v>
      </c>
      <c r="H107" s="76" t="s">
        <v>335</v>
      </c>
      <c r="I107" s="74">
        <v>200</v>
      </c>
      <c r="J107" s="74">
        <v>4846</v>
      </c>
      <c r="K107" s="74">
        <v>2044</v>
      </c>
      <c r="L107" s="74">
        <v>2802</v>
      </c>
    </row>
    <row r="108" spans="1:12" x14ac:dyDescent="0.35">
      <c r="A108" s="74" t="s">
        <v>275</v>
      </c>
      <c r="B108" s="74" t="s">
        <v>283</v>
      </c>
      <c r="C108" s="74" t="s">
        <v>284</v>
      </c>
      <c r="D108" s="74" t="s">
        <v>285</v>
      </c>
      <c r="E108" s="75" t="s">
        <v>286</v>
      </c>
      <c r="F108" s="76">
        <v>41780</v>
      </c>
      <c r="G108" s="76" t="s">
        <v>280</v>
      </c>
      <c r="H108" s="76" t="s">
        <v>319</v>
      </c>
      <c r="I108" s="74">
        <v>600</v>
      </c>
      <c r="J108" s="74">
        <v>11208</v>
      </c>
      <c r="K108" s="74">
        <v>5082</v>
      </c>
      <c r="L108" s="74">
        <v>6126</v>
      </c>
    </row>
    <row r="109" spans="1:12" x14ac:dyDescent="0.35">
      <c r="A109" s="74" t="s">
        <v>282</v>
      </c>
      <c r="B109" s="74" t="s">
        <v>126</v>
      </c>
      <c r="C109" s="74" t="s">
        <v>312</v>
      </c>
      <c r="D109" s="74" t="s">
        <v>313</v>
      </c>
      <c r="E109" s="75" t="s">
        <v>286</v>
      </c>
      <c r="F109" s="76">
        <v>41781</v>
      </c>
      <c r="G109" s="76" t="s">
        <v>287</v>
      </c>
      <c r="H109" s="76" t="s">
        <v>314</v>
      </c>
      <c r="I109" s="74">
        <v>500</v>
      </c>
      <c r="J109" s="74">
        <v>10195</v>
      </c>
      <c r="K109" s="74">
        <v>4920</v>
      </c>
      <c r="L109" s="74">
        <v>5275</v>
      </c>
    </row>
    <row r="110" spans="1:12" x14ac:dyDescent="0.35">
      <c r="A110" s="74" t="s">
        <v>282</v>
      </c>
      <c r="B110" s="74" t="s">
        <v>283</v>
      </c>
      <c r="C110" s="74" t="s">
        <v>284</v>
      </c>
      <c r="D110" s="74" t="s">
        <v>285</v>
      </c>
      <c r="E110" s="75" t="s">
        <v>303</v>
      </c>
      <c r="F110" s="76">
        <v>41782</v>
      </c>
      <c r="G110" s="76" t="s">
        <v>308</v>
      </c>
      <c r="H110" s="76" t="s">
        <v>288</v>
      </c>
      <c r="I110" s="74">
        <v>200</v>
      </c>
      <c r="J110" s="74">
        <v>4012</v>
      </c>
      <c r="K110" s="74">
        <v>1694</v>
      </c>
      <c r="L110" s="74">
        <v>2318</v>
      </c>
    </row>
    <row r="111" spans="1:12" x14ac:dyDescent="0.35">
      <c r="A111" s="74" t="s">
        <v>275</v>
      </c>
      <c r="B111" s="74" t="s">
        <v>276</v>
      </c>
      <c r="C111" s="74" t="s">
        <v>277</v>
      </c>
      <c r="D111" s="74" t="s">
        <v>278</v>
      </c>
      <c r="E111" s="75" t="s">
        <v>303</v>
      </c>
      <c r="F111" s="76">
        <v>41782</v>
      </c>
      <c r="G111" s="76" t="s">
        <v>308</v>
      </c>
      <c r="H111" s="76" t="s">
        <v>304</v>
      </c>
      <c r="I111" s="74">
        <v>700</v>
      </c>
      <c r="J111" s="74">
        <v>12803</v>
      </c>
      <c r="K111" s="74">
        <v>5929</v>
      </c>
      <c r="L111" s="74">
        <v>6874</v>
      </c>
    </row>
    <row r="112" spans="1:12" x14ac:dyDescent="0.35">
      <c r="A112" s="74" t="s">
        <v>289</v>
      </c>
      <c r="B112" s="74" t="s">
        <v>126</v>
      </c>
      <c r="C112" s="74" t="s">
        <v>290</v>
      </c>
      <c r="D112" s="74" t="s">
        <v>291</v>
      </c>
      <c r="E112" s="75" t="s">
        <v>286</v>
      </c>
      <c r="F112" s="76">
        <v>41783</v>
      </c>
      <c r="G112" s="76" t="s">
        <v>292</v>
      </c>
      <c r="H112" s="76" t="s">
        <v>323</v>
      </c>
      <c r="I112" s="74">
        <v>100</v>
      </c>
      <c r="J112" s="74">
        <v>2319</v>
      </c>
      <c r="K112" s="74">
        <v>984</v>
      </c>
      <c r="L112" s="74">
        <v>1335</v>
      </c>
    </row>
    <row r="113" spans="1:12" x14ac:dyDescent="0.35">
      <c r="A113" s="74" t="s">
        <v>275</v>
      </c>
      <c r="B113" s="74" t="s">
        <v>276</v>
      </c>
      <c r="C113" s="74" t="s">
        <v>277</v>
      </c>
      <c r="D113" s="74" t="s">
        <v>278</v>
      </c>
      <c r="E113" s="75" t="s">
        <v>303</v>
      </c>
      <c r="F113" s="76">
        <v>41783</v>
      </c>
      <c r="G113" s="76" t="s">
        <v>292</v>
      </c>
      <c r="H113" s="76" t="s">
        <v>304</v>
      </c>
      <c r="I113" s="74">
        <v>600</v>
      </c>
      <c r="J113" s="74">
        <v>11700</v>
      </c>
      <c r="K113" s="74">
        <v>5082</v>
      </c>
      <c r="L113" s="74">
        <v>6618</v>
      </c>
    </row>
    <row r="114" spans="1:12" x14ac:dyDescent="0.35">
      <c r="A114" s="74" t="s">
        <v>289</v>
      </c>
      <c r="B114" s="74" t="s">
        <v>126</v>
      </c>
      <c r="C114" s="74" t="s">
        <v>290</v>
      </c>
      <c r="D114" s="74" t="s">
        <v>291</v>
      </c>
      <c r="E114" s="75" t="s">
        <v>286</v>
      </c>
      <c r="F114" s="76">
        <v>41785</v>
      </c>
      <c r="G114" s="76" t="s">
        <v>318</v>
      </c>
      <c r="H114" s="76" t="s">
        <v>323</v>
      </c>
      <c r="I114" s="74">
        <v>600</v>
      </c>
      <c r="J114" s="74">
        <v>12048</v>
      </c>
      <c r="K114" s="74">
        <v>5904</v>
      </c>
      <c r="L114" s="74">
        <v>6144</v>
      </c>
    </row>
    <row r="115" spans="1:12" x14ac:dyDescent="0.35">
      <c r="A115" s="74" t="s">
        <v>275</v>
      </c>
      <c r="B115" s="74" t="s">
        <v>283</v>
      </c>
      <c r="C115" s="74" t="s">
        <v>284</v>
      </c>
      <c r="D115" s="74" t="s">
        <v>285</v>
      </c>
      <c r="E115" s="75" t="s">
        <v>279</v>
      </c>
      <c r="F115" s="76">
        <v>41787</v>
      </c>
      <c r="G115" s="76" t="s">
        <v>280</v>
      </c>
      <c r="H115" s="76" t="s">
        <v>311</v>
      </c>
      <c r="I115" s="74">
        <v>700</v>
      </c>
      <c r="J115" s="74">
        <v>14469</v>
      </c>
      <c r="K115" s="74">
        <v>7154</v>
      </c>
      <c r="L115" s="74">
        <v>7315</v>
      </c>
    </row>
    <row r="116" spans="1:12" x14ac:dyDescent="0.35">
      <c r="A116" s="74" t="s">
        <v>289</v>
      </c>
      <c r="B116" s="74" t="s">
        <v>126</v>
      </c>
      <c r="C116" s="74" t="s">
        <v>290</v>
      </c>
      <c r="D116" s="74" t="s">
        <v>291</v>
      </c>
      <c r="E116" s="75" t="s">
        <v>303</v>
      </c>
      <c r="F116" s="76">
        <v>41788</v>
      </c>
      <c r="G116" s="76" t="s">
        <v>287</v>
      </c>
      <c r="H116" s="76" t="s">
        <v>323</v>
      </c>
      <c r="I116" s="74">
        <v>900</v>
      </c>
      <c r="J116" s="74">
        <v>17964</v>
      </c>
      <c r="K116" s="74">
        <v>7623</v>
      </c>
      <c r="L116" s="74">
        <v>10341</v>
      </c>
    </row>
    <row r="117" spans="1:12" x14ac:dyDescent="0.35">
      <c r="A117" s="74" t="s">
        <v>282</v>
      </c>
      <c r="B117" s="74" t="s">
        <v>126</v>
      </c>
      <c r="C117" s="74" t="s">
        <v>312</v>
      </c>
      <c r="D117" s="74" t="s">
        <v>313</v>
      </c>
      <c r="E117" s="75" t="s">
        <v>303</v>
      </c>
      <c r="F117" s="76">
        <v>41789</v>
      </c>
      <c r="G117" s="76" t="s">
        <v>308</v>
      </c>
      <c r="H117" s="76" t="s">
        <v>314</v>
      </c>
      <c r="I117" s="74">
        <v>700</v>
      </c>
      <c r="J117" s="74">
        <v>13412</v>
      </c>
      <c r="K117" s="74">
        <v>5929</v>
      </c>
      <c r="L117" s="74">
        <v>7483</v>
      </c>
    </row>
    <row r="118" spans="1:12" x14ac:dyDescent="0.35">
      <c r="A118" s="74" t="s">
        <v>275</v>
      </c>
      <c r="B118" s="74" t="s">
        <v>276</v>
      </c>
      <c r="C118" s="74" t="s">
        <v>277</v>
      </c>
      <c r="D118" s="74" t="s">
        <v>278</v>
      </c>
      <c r="E118" s="75" t="s">
        <v>279</v>
      </c>
      <c r="F118" s="76">
        <v>41789</v>
      </c>
      <c r="G118" s="76" t="s">
        <v>308</v>
      </c>
      <c r="H118" s="76" t="s">
        <v>304</v>
      </c>
      <c r="I118" s="74">
        <v>300</v>
      </c>
      <c r="J118" s="74">
        <v>6660</v>
      </c>
      <c r="K118" s="74">
        <v>3066</v>
      </c>
      <c r="L118" s="74">
        <v>3594</v>
      </c>
    </row>
    <row r="119" spans="1:12" x14ac:dyDescent="0.35">
      <c r="A119" s="74" t="s">
        <v>275</v>
      </c>
      <c r="B119" s="74" t="s">
        <v>283</v>
      </c>
      <c r="C119" s="74" t="s">
        <v>284</v>
      </c>
      <c r="D119" s="74" t="s">
        <v>285</v>
      </c>
      <c r="E119" s="75" t="s">
        <v>279</v>
      </c>
      <c r="F119" s="76">
        <v>41790</v>
      </c>
      <c r="G119" s="76" t="s">
        <v>292</v>
      </c>
      <c r="H119" s="76" t="s">
        <v>319</v>
      </c>
      <c r="I119" s="74">
        <v>900</v>
      </c>
      <c r="J119" s="74">
        <v>18918</v>
      </c>
      <c r="K119" s="74">
        <v>9198</v>
      </c>
      <c r="L119" s="74">
        <v>9720</v>
      </c>
    </row>
    <row r="120" spans="1:12" x14ac:dyDescent="0.35">
      <c r="A120" s="74" t="s">
        <v>275</v>
      </c>
      <c r="B120" s="74" t="s">
        <v>276</v>
      </c>
      <c r="C120" s="74" t="s">
        <v>277</v>
      </c>
      <c r="D120" s="74" t="s">
        <v>278</v>
      </c>
      <c r="E120" s="75" t="s">
        <v>303</v>
      </c>
      <c r="F120" s="76">
        <v>41791</v>
      </c>
      <c r="G120" s="76" t="s">
        <v>310</v>
      </c>
      <c r="H120" s="76" t="s">
        <v>304</v>
      </c>
      <c r="I120" s="74">
        <v>700</v>
      </c>
      <c r="J120" s="74">
        <v>13986</v>
      </c>
      <c r="K120" s="74">
        <v>5929</v>
      </c>
      <c r="L120" s="74">
        <v>8057</v>
      </c>
    </row>
    <row r="121" spans="1:12" x14ac:dyDescent="0.35">
      <c r="A121" s="74" t="s">
        <v>275</v>
      </c>
      <c r="B121" s="74" t="s">
        <v>283</v>
      </c>
      <c r="C121" s="74" t="s">
        <v>284</v>
      </c>
      <c r="D121" s="74" t="s">
        <v>285</v>
      </c>
      <c r="E121" s="75" t="s">
        <v>286</v>
      </c>
      <c r="F121" s="76">
        <v>41793</v>
      </c>
      <c r="G121" s="76" t="s">
        <v>301</v>
      </c>
      <c r="H121" s="76" t="s">
        <v>311</v>
      </c>
      <c r="I121" s="74">
        <v>1000</v>
      </c>
      <c r="J121" s="74">
        <v>20480</v>
      </c>
      <c r="K121" s="74">
        <v>9840</v>
      </c>
      <c r="L121" s="74">
        <v>10640</v>
      </c>
    </row>
    <row r="122" spans="1:12" x14ac:dyDescent="0.35">
      <c r="A122" s="74" t="s">
        <v>305</v>
      </c>
      <c r="B122" s="74" t="s">
        <v>126</v>
      </c>
      <c r="C122" s="74" t="s">
        <v>306</v>
      </c>
      <c r="D122" s="74" t="s">
        <v>307</v>
      </c>
      <c r="E122" s="75" t="s">
        <v>279</v>
      </c>
      <c r="F122" s="76">
        <v>41796</v>
      </c>
      <c r="G122" s="76" t="s">
        <v>308</v>
      </c>
      <c r="H122" s="76" t="s">
        <v>309</v>
      </c>
      <c r="I122" s="74">
        <v>200</v>
      </c>
      <c r="J122" s="74">
        <v>4264</v>
      </c>
      <c r="K122" s="74">
        <v>2044</v>
      </c>
      <c r="L122" s="74">
        <v>2220</v>
      </c>
    </row>
    <row r="123" spans="1:12" x14ac:dyDescent="0.35">
      <c r="A123" s="74" t="s">
        <v>305</v>
      </c>
      <c r="B123" s="74" t="s">
        <v>276</v>
      </c>
      <c r="C123" s="74" t="s">
        <v>336</v>
      </c>
      <c r="D123" s="74" t="s">
        <v>337</v>
      </c>
      <c r="E123" s="75" t="s">
        <v>286</v>
      </c>
      <c r="F123" s="76">
        <v>41797</v>
      </c>
      <c r="G123" s="76" t="s">
        <v>292</v>
      </c>
      <c r="H123" s="76" t="s">
        <v>338</v>
      </c>
      <c r="I123" s="74">
        <v>200</v>
      </c>
      <c r="J123" s="74">
        <v>4282</v>
      </c>
      <c r="K123" s="74">
        <v>1968</v>
      </c>
      <c r="L123" s="74">
        <v>2314</v>
      </c>
    </row>
    <row r="124" spans="1:12" x14ac:dyDescent="0.35">
      <c r="A124" s="74" t="s">
        <v>275</v>
      </c>
      <c r="B124" s="74" t="s">
        <v>283</v>
      </c>
      <c r="C124" s="74" t="s">
        <v>284</v>
      </c>
      <c r="D124" s="74" t="s">
        <v>285</v>
      </c>
      <c r="E124" s="75" t="s">
        <v>279</v>
      </c>
      <c r="F124" s="76">
        <v>41798</v>
      </c>
      <c r="G124" s="76" t="s">
        <v>310</v>
      </c>
      <c r="H124" s="76" t="s">
        <v>311</v>
      </c>
      <c r="I124" s="74">
        <v>500</v>
      </c>
      <c r="J124" s="74">
        <v>12135</v>
      </c>
      <c r="K124" s="74">
        <v>5110</v>
      </c>
      <c r="L124" s="74">
        <v>7025</v>
      </c>
    </row>
    <row r="125" spans="1:12" x14ac:dyDescent="0.35">
      <c r="A125" s="74" t="s">
        <v>275</v>
      </c>
      <c r="B125" s="74" t="s">
        <v>283</v>
      </c>
      <c r="C125" s="74" t="s">
        <v>284</v>
      </c>
      <c r="D125" s="74" t="s">
        <v>285</v>
      </c>
      <c r="E125" s="75" t="s">
        <v>286</v>
      </c>
      <c r="F125" s="76">
        <v>41800</v>
      </c>
      <c r="G125" s="76" t="s">
        <v>301</v>
      </c>
      <c r="H125" s="76" t="s">
        <v>311</v>
      </c>
      <c r="I125" s="74">
        <v>200</v>
      </c>
      <c r="J125" s="74">
        <v>4286</v>
      </c>
      <c r="K125" s="74">
        <v>1968</v>
      </c>
      <c r="L125" s="74">
        <v>2318</v>
      </c>
    </row>
    <row r="126" spans="1:12" x14ac:dyDescent="0.35">
      <c r="A126" s="74" t="s">
        <v>282</v>
      </c>
      <c r="B126" s="74" t="s">
        <v>283</v>
      </c>
      <c r="C126" s="74" t="s">
        <v>284</v>
      </c>
      <c r="D126" s="74" t="s">
        <v>285</v>
      </c>
      <c r="E126" s="75" t="s">
        <v>279</v>
      </c>
      <c r="F126" s="76">
        <v>41802</v>
      </c>
      <c r="G126" s="76" t="s">
        <v>287</v>
      </c>
      <c r="H126" s="76" t="s">
        <v>288</v>
      </c>
      <c r="I126" s="74">
        <v>500</v>
      </c>
      <c r="J126" s="74">
        <v>10650</v>
      </c>
      <c r="K126" s="74">
        <v>5110</v>
      </c>
      <c r="L126" s="74">
        <v>5540</v>
      </c>
    </row>
    <row r="127" spans="1:12" x14ac:dyDescent="0.35">
      <c r="A127" s="74" t="s">
        <v>282</v>
      </c>
      <c r="B127" s="74" t="s">
        <v>283</v>
      </c>
      <c r="C127" s="74" t="s">
        <v>284</v>
      </c>
      <c r="D127" s="74" t="s">
        <v>285</v>
      </c>
      <c r="E127" s="75" t="s">
        <v>303</v>
      </c>
      <c r="F127" s="76">
        <v>41803</v>
      </c>
      <c r="G127" s="76" t="s">
        <v>308</v>
      </c>
      <c r="H127" s="76" t="s">
        <v>288</v>
      </c>
      <c r="I127" s="74">
        <v>1000</v>
      </c>
      <c r="J127" s="74">
        <v>19630</v>
      </c>
      <c r="K127" s="74">
        <v>8470</v>
      </c>
      <c r="L127" s="74">
        <v>11160</v>
      </c>
    </row>
    <row r="128" spans="1:12" x14ac:dyDescent="0.35">
      <c r="A128" s="74" t="s">
        <v>275</v>
      </c>
      <c r="B128" s="74" t="s">
        <v>283</v>
      </c>
      <c r="C128" s="74" t="s">
        <v>284</v>
      </c>
      <c r="D128" s="74" t="s">
        <v>285</v>
      </c>
      <c r="E128" s="75" t="s">
        <v>286</v>
      </c>
      <c r="F128" s="76">
        <v>41804</v>
      </c>
      <c r="G128" s="76" t="s">
        <v>292</v>
      </c>
      <c r="H128" s="76" t="s">
        <v>319</v>
      </c>
      <c r="I128" s="74">
        <v>700</v>
      </c>
      <c r="J128" s="74">
        <v>12838</v>
      </c>
      <c r="K128" s="74">
        <v>5929</v>
      </c>
      <c r="L128" s="74">
        <v>6909</v>
      </c>
    </row>
    <row r="129" spans="1:12" x14ac:dyDescent="0.35">
      <c r="A129" s="74" t="s">
        <v>275</v>
      </c>
      <c r="B129" s="74" t="s">
        <v>276</v>
      </c>
      <c r="C129" s="74" t="s">
        <v>277</v>
      </c>
      <c r="D129" s="74" t="s">
        <v>278</v>
      </c>
      <c r="E129" s="75" t="s">
        <v>303</v>
      </c>
      <c r="F129" s="76">
        <v>41805</v>
      </c>
      <c r="G129" s="76" t="s">
        <v>310</v>
      </c>
      <c r="H129" s="76" t="s">
        <v>281</v>
      </c>
      <c r="I129" s="74">
        <v>200</v>
      </c>
      <c r="J129" s="74">
        <v>3856</v>
      </c>
      <c r="K129" s="74">
        <v>1694</v>
      </c>
      <c r="L129" s="74">
        <v>2162</v>
      </c>
    </row>
    <row r="130" spans="1:12" x14ac:dyDescent="0.35">
      <c r="A130" s="74" t="s">
        <v>294</v>
      </c>
      <c r="B130" s="74" t="s">
        <v>283</v>
      </c>
      <c r="C130" s="74" t="s">
        <v>284</v>
      </c>
      <c r="D130" s="74" t="s">
        <v>285</v>
      </c>
      <c r="E130" s="75" t="s">
        <v>286</v>
      </c>
      <c r="F130" s="76">
        <v>41809</v>
      </c>
      <c r="G130" s="76" t="s">
        <v>287</v>
      </c>
      <c r="H130" s="76" t="s">
        <v>317</v>
      </c>
      <c r="I130" s="74">
        <v>1000</v>
      </c>
      <c r="J130" s="74">
        <v>22140</v>
      </c>
      <c r="K130" s="74">
        <v>9840</v>
      </c>
      <c r="L130" s="74">
        <v>12300</v>
      </c>
    </row>
    <row r="131" spans="1:12" x14ac:dyDescent="0.35">
      <c r="A131" s="74" t="s">
        <v>275</v>
      </c>
      <c r="B131" s="74" t="s">
        <v>283</v>
      </c>
      <c r="C131" s="74" t="s">
        <v>284</v>
      </c>
      <c r="D131" s="74" t="s">
        <v>285</v>
      </c>
      <c r="E131" s="75" t="s">
        <v>303</v>
      </c>
      <c r="F131" s="76">
        <v>41813</v>
      </c>
      <c r="G131" s="76" t="s">
        <v>318</v>
      </c>
      <c r="H131" s="76" t="s">
        <v>311</v>
      </c>
      <c r="I131" s="74">
        <v>500</v>
      </c>
      <c r="J131" s="74">
        <v>10330</v>
      </c>
      <c r="K131" s="74">
        <v>4235</v>
      </c>
      <c r="L131" s="74">
        <v>6095</v>
      </c>
    </row>
    <row r="132" spans="1:12" x14ac:dyDescent="0.35">
      <c r="A132" s="74" t="s">
        <v>289</v>
      </c>
      <c r="B132" s="74" t="s">
        <v>126</v>
      </c>
      <c r="C132" s="74" t="s">
        <v>290</v>
      </c>
      <c r="D132" s="74" t="s">
        <v>291</v>
      </c>
      <c r="E132" s="75" t="s">
        <v>303</v>
      </c>
      <c r="F132" s="76">
        <v>41814</v>
      </c>
      <c r="G132" s="76" t="s">
        <v>301</v>
      </c>
      <c r="H132" s="76" t="s">
        <v>323</v>
      </c>
      <c r="I132" s="74">
        <v>100</v>
      </c>
      <c r="J132" s="74">
        <v>1882</v>
      </c>
      <c r="K132" s="74">
        <v>847</v>
      </c>
      <c r="L132" s="74">
        <v>1035</v>
      </c>
    </row>
    <row r="133" spans="1:12" x14ac:dyDescent="0.35">
      <c r="A133" s="74" t="s">
        <v>275</v>
      </c>
      <c r="B133" s="74" t="s">
        <v>276</v>
      </c>
      <c r="C133" s="74" t="s">
        <v>277</v>
      </c>
      <c r="D133" s="74" t="s">
        <v>278</v>
      </c>
      <c r="E133" s="75" t="s">
        <v>286</v>
      </c>
      <c r="F133" s="76">
        <v>41815</v>
      </c>
      <c r="G133" s="76" t="s">
        <v>280</v>
      </c>
      <c r="H133" s="76" t="s">
        <v>281</v>
      </c>
      <c r="I133" s="74">
        <v>100</v>
      </c>
      <c r="J133" s="74">
        <v>2221</v>
      </c>
      <c r="K133" s="74">
        <v>984</v>
      </c>
      <c r="L133" s="74">
        <v>1237</v>
      </c>
    </row>
    <row r="134" spans="1:12" x14ac:dyDescent="0.35">
      <c r="A134" s="74" t="s">
        <v>289</v>
      </c>
      <c r="B134" s="74" t="s">
        <v>126</v>
      </c>
      <c r="C134" s="74" t="s">
        <v>290</v>
      </c>
      <c r="D134" s="74" t="s">
        <v>291</v>
      </c>
      <c r="E134" s="75" t="s">
        <v>303</v>
      </c>
      <c r="F134" s="76">
        <v>41816</v>
      </c>
      <c r="G134" s="76" t="s">
        <v>287</v>
      </c>
      <c r="H134" s="76" t="s">
        <v>323</v>
      </c>
      <c r="I134" s="74">
        <v>700</v>
      </c>
      <c r="J134" s="74">
        <v>13734</v>
      </c>
      <c r="K134" s="74">
        <v>5929</v>
      </c>
      <c r="L134" s="74">
        <v>7805</v>
      </c>
    </row>
    <row r="135" spans="1:12" x14ac:dyDescent="0.35">
      <c r="A135" s="74" t="s">
        <v>298</v>
      </c>
      <c r="B135" s="74" t="s">
        <v>126</v>
      </c>
      <c r="C135" s="74" t="s">
        <v>329</v>
      </c>
      <c r="D135" s="74" t="s">
        <v>330</v>
      </c>
      <c r="E135" s="75" t="s">
        <v>286</v>
      </c>
      <c r="F135" s="76">
        <v>41816</v>
      </c>
      <c r="G135" s="76" t="s">
        <v>287</v>
      </c>
      <c r="H135" s="76" t="s">
        <v>331</v>
      </c>
      <c r="I135" s="74">
        <v>800</v>
      </c>
      <c r="J135" s="74">
        <v>15856</v>
      </c>
      <c r="K135" s="74">
        <v>7872</v>
      </c>
      <c r="L135" s="74">
        <v>7984</v>
      </c>
    </row>
    <row r="136" spans="1:12" x14ac:dyDescent="0.35">
      <c r="A136" s="74" t="s">
        <v>298</v>
      </c>
      <c r="B136" s="74" t="s">
        <v>128</v>
      </c>
      <c r="C136" s="74" t="s">
        <v>299</v>
      </c>
      <c r="D136" s="74" t="s">
        <v>300</v>
      </c>
      <c r="E136" s="75" t="s">
        <v>286</v>
      </c>
      <c r="F136" s="76">
        <v>41817</v>
      </c>
      <c r="G136" s="76" t="s">
        <v>308</v>
      </c>
      <c r="H136" s="76" t="s">
        <v>302</v>
      </c>
      <c r="I136" s="74">
        <v>200</v>
      </c>
      <c r="J136" s="74">
        <v>4754</v>
      </c>
      <c r="K136" s="74">
        <v>1968</v>
      </c>
      <c r="L136" s="74">
        <v>2786</v>
      </c>
    </row>
    <row r="137" spans="1:12" x14ac:dyDescent="0.35">
      <c r="A137" s="74" t="s">
        <v>289</v>
      </c>
      <c r="B137" s="74" t="s">
        <v>126</v>
      </c>
      <c r="C137" s="74" t="s">
        <v>290</v>
      </c>
      <c r="D137" s="74" t="s">
        <v>291</v>
      </c>
      <c r="E137" s="75" t="s">
        <v>286</v>
      </c>
      <c r="F137" s="76">
        <v>41820</v>
      </c>
      <c r="G137" s="76" t="s">
        <v>318</v>
      </c>
      <c r="H137" s="76" t="s">
        <v>323</v>
      </c>
      <c r="I137" s="74">
        <v>100</v>
      </c>
      <c r="J137" s="74">
        <v>2231</v>
      </c>
      <c r="K137" s="74">
        <v>984</v>
      </c>
      <c r="L137" s="74">
        <v>1247</v>
      </c>
    </row>
    <row r="138" spans="1:12" x14ac:dyDescent="0.35">
      <c r="A138" s="74" t="s">
        <v>275</v>
      </c>
      <c r="B138" s="74" t="s">
        <v>283</v>
      </c>
      <c r="C138" s="74" t="s">
        <v>284</v>
      </c>
      <c r="D138" s="74" t="s">
        <v>285</v>
      </c>
      <c r="E138" s="75" t="s">
        <v>279</v>
      </c>
      <c r="F138" s="76">
        <v>41822</v>
      </c>
      <c r="G138" s="76" t="s">
        <v>280</v>
      </c>
      <c r="H138" s="76" t="s">
        <v>319</v>
      </c>
      <c r="I138" s="74">
        <v>900</v>
      </c>
      <c r="J138" s="74">
        <v>21960</v>
      </c>
      <c r="K138" s="74">
        <v>9198</v>
      </c>
      <c r="L138" s="74">
        <v>12762</v>
      </c>
    </row>
    <row r="139" spans="1:12" x14ac:dyDescent="0.35">
      <c r="A139" s="74" t="s">
        <v>325</v>
      </c>
      <c r="B139" s="74" t="s">
        <v>276</v>
      </c>
      <c r="C139" s="74" t="s">
        <v>320</v>
      </c>
      <c r="D139" s="74" t="s">
        <v>321</v>
      </c>
      <c r="E139" s="75" t="s">
        <v>279</v>
      </c>
      <c r="F139" s="76">
        <v>41823</v>
      </c>
      <c r="G139" s="76" t="s">
        <v>287</v>
      </c>
      <c r="H139" s="76" t="s">
        <v>339</v>
      </c>
      <c r="I139" s="74">
        <v>300</v>
      </c>
      <c r="J139" s="74">
        <v>7167</v>
      </c>
      <c r="K139" s="74">
        <v>3066</v>
      </c>
      <c r="L139" s="74">
        <v>4101</v>
      </c>
    </row>
    <row r="140" spans="1:12" x14ac:dyDescent="0.35">
      <c r="A140" s="74" t="s">
        <v>305</v>
      </c>
      <c r="B140" s="74" t="s">
        <v>126</v>
      </c>
      <c r="C140" s="74" t="s">
        <v>306</v>
      </c>
      <c r="D140" s="74" t="s">
        <v>307</v>
      </c>
      <c r="E140" s="75" t="s">
        <v>279</v>
      </c>
      <c r="F140" s="76">
        <v>41823</v>
      </c>
      <c r="G140" s="76" t="s">
        <v>287</v>
      </c>
      <c r="H140" s="76" t="s">
        <v>309</v>
      </c>
      <c r="I140" s="74">
        <v>900</v>
      </c>
      <c r="J140" s="74">
        <v>22716</v>
      </c>
      <c r="K140" s="74">
        <v>9198</v>
      </c>
      <c r="L140" s="74">
        <v>13518</v>
      </c>
    </row>
    <row r="141" spans="1:12" x14ac:dyDescent="0.35">
      <c r="A141" s="74" t="s">
        <v>282</v>
      </c>
      <c r="B141" s="74" t="s">
        <v>126</v>
      </c>
      <c r="C141" s="74" t="s">
        <v>312</v>
      </c>
      <c r="D141" s="74" t="s">
        <v>313</v>
      </c>
      <c r="E141" s="75" t="s">
        <v>279</v>
      </c>
      <c r="F141" s="76">
        <v>41824</v>
      </c>
      <c r="G141" s="76" t="s">
        <v>308</v>
      </c>
      <c r="H141" s="76" t="s">
        <v>314</v>
      </c>
      <c r="I141" s="74">
        <v>900</v>
      </c>
      <c r="J141" s="74">
        <v>19062</v>
      </c>
      <c r="K141" s="74">
        <v>9198</v>
      </c>
      <c r="L141" s="74">
        <v>9864</v>
      </c>
    </row>
    <row r="142" spans="1:12" x14ac:dyDescent="0.35">
      <c r="A142" s="74" t="s">
        <v>275</v>
      </c>
      <c r="B142" s="74" t="s">
        <v>276</v>
      </c>
      <c r="C142" s="74" t="s">
        <v>277</v>
      </c>
      <c r="D142" s="74" t="s">
        <v>278</v>
      </c>
      <c r="E142" s="75" t="s">
        <v>279</v>
      </c>
      <c r="F142" s="76">
        <v>41825</v>
      </c>
      <c r="G142" s="76" t="s">
        <v>292</v>
      </c>
      <c r="H142" s="76" t="s">
        <v>304</v>
      </c>
      <c r="I142" s="74">
        <v>300</v>
      </c>
      <c r="J142" s="74">
        <v>7593</v>
      </c>
      <c r="K142" s="74">
        <v>3066</v>
      </c>
      <c r="L142" s="74">
        <v>4527</v>
      </c>
    </row>
    <row r="143" spans="1:12" x14ac:dyDescent="0.35">
      <c r="A143" s="74" t="s">
        <v>289</v>
      </c>
      <c r="B143" s="74" t="s">
        <v>126</v>
      </c>
      <c r="C143" s="74" t="s">
        <v>290</v>
      </c>
      <c r="D143" s="74" t="s">
        <v>291</v>
      </c>
      <c r="E143" s="75" t="s">
        <v>286</v>
      </c>
      <c r="F143" s="76">
        <v>41828</v>
      </c>
      <c r="G143" s="76" t="s">
        <v>301</v>
      </c>
      <c r="H143" s="76" t="s">
        <v>323</v>
      </c>
      <c r="I143" s="74">
        <v>900</v>
      </c>
      <c r="J143" s="74">
        <v>21168</v>
      </c>
      <c r="K143" s="74">
        <v>8856</v>
      </c>
      <c r="L143" s="74">
        <v>12312</v>
      </c>
    </row>
    <row r="144" spans="1:12" x14ac:dyDescent="0.35">
      <c r="A144" s="74" t="s">
        <v>275</v>
      </c>
      <c r="B144" s="74" t="s">
        <v>276</v>
      </c>
      <c r="C144" s="74" t="s">
        <v>320</v>
      </c>
      <c r="D144" s="74" t="s">
        <v>321</v>
      </c>
      <c r="E144" s="75" t="s">
        <v>279</v>
      </c>
      <c r="F144" s="76">
        <v>41830</v>
      </c>
      <c r="G144" s="76" t="s">
        <v>287</v>
      </c>
      <c r="H144" s="76" t="s">
        <v>322</v>
      </c>
      <c r="I144" s="74">
        <v>1000</v>
      </c>
      <c r="J144" s="74">
        <v>24130</v>
      </c>
      <c r="K144" s="74">
        <v>10220</v>
      </c>
      <c r="L144" s="74">
        <v>13910</v>
      </c>
    </row>
    <row r="145" spans="1:12" x14ac:dyDescent="0.35">
      <c r="A145" s="74" t="s">
        <v>305</v>
      </c>
      <c r="B145" s="74" t="s">
        <v>276</v>
      </c>
      <c r="C145" s="74" t="s">
        <v>336</v>
      </c>
      <c r="D145" s="74" t="s">
        <v>337</v>
      </c>
      <c r="E145" s="75" t="s">
        <v>279</v>
      </c>
      <c r="F145" s="76">
        <v>41831</v>
      </c>
      <c r="G145" s="76" t="s">
        <v>308</v>
      </c>
      <c r="H145" s="76" t="s">
        <v>338</v>
      </c>
      <c r="I145" s="74">
        <v>400</v>
      </c>
      <c r="J145" s="74">
        <v>8876</v>
      </c>
      <c r="K145" s="74">
        <v>4088</v>
      </c>
      <c r="L145" s="74">
        <v>4788</v>
      </c>
    </row>
    <row r="146" spans="1:12" x14ac:dyDescent="0.35">
      <c r="A146" s="74" t="s">
        <v>275</v>
      </c>
      <c r="B146" s="74" t="s">
        <v>283</v>
      </c>
      <c r="C146" s="74" t="s">
        <v>284</v>
      </c>
      <c r="D146" s="74" t="s">
        <v>285</v>
      </c>
      <c r="E146" s="75" t="s">
        <v>286</v>
      </c>
      <c r="F146" s="76">
        <v>41834</v>
      </c>
      <c r="G146" s="76" t="s">
        <v>318</v>
      </c>
      <c r="H146" s="76" t="s">
        <v>319</v>
      </c>
      <c r="I146" s="74">
        <v>900</v>
      </c>
      <c r="J146" s="74">
        <v>21555</v>
      </c>
      <c r="K146" s="74">
        <v>8856</v>
      </c>
      <c r="L146" s="74">
        <v>12699</v>
      </c>
    </row>
    <row r="147" spans="1:12" x14ac:dyDescent="0.35">
      <c r="A147" s="74" t="s">
        <v>275</v>
      </c>
      <c r="B147" s="74" t="s">
        <v>283</v>
      </c>
      <c r="C147" s="74" t="s">
        <v>284</v>
      </c>
      <c r="D147" s="74" t="s">
        <v>285</v>
      </c>
      <c r="E147" s="75" t="s">
        <v>303</v>
      </c>
      <c r="F147" s="76">
        <v>41835</v>
      </c>
      <c r="G147" s="76" t="s">
        <v>301</v>
      </c>
      <c r="H147" s="76" t="s">
        <v>311</v>
      </c>
      <c r="I147" s="74">
        <v>300</v>
      </c>
      <c r="J147" s="74">
        <v>5967</v>
      </c>
      <c r="K147" s="74">
        <v>2541</v>
      </c>
      <c r="L147" s="74">
        <v>3426</v>
      </c>
    </row>
    <row r="148" spans="1:12" x14ac:dyDescent="0.35">
      <c r="A148" s="74" t="s">
        <v>275</v>
      </c>
      <c r="B148" s="74" t="s">
        <v>276</v>
      </c>
      <c r="C148" s="74" t="s">
        <v>277</v>
      </c>
      <c r="D148" s="74" t="s">
        <v>278</v>
      </c>
      <c r="E148" s="75" t="s">
        <v>279</v>
      </c>
      <c r="F148" s="76">
        <v>41835</v>
      </c>
      <c r="G148" s="76" t="s">
        <v>301</v>
      </c>
      <c r="H148" s="76" t="s">
        <v>281</v>
      </c>
      <c r="I148" s="74">
        <v>700</v>
      </c>
      <c r="J148" s="74">
        <v>15876</v>
      </c>
      <c r="K148" s="74">
        <v>7154</v>
      </c>
      <c r="L148" s="74">
        <v>8722</v>
      </c>
    </row>
    <row r="149" spans="1:12" x14ac:dyDescent="0.35">
      <c r="A149" s="74" t="s">
        <v>298</v>
      </c>
      <c r="B149" s="74" t="s">
        <v>126</v>
      </c>
      <c r="C149" s="74" t="s">
        <v>329</v>
      </c>
      <c r="D149" s="74" t="s">
        <v>330</v>
      </c>
      <c r="E149" s="75" t="s">
        <v>279</v>
      </c>
      <c r="F149" s="76">
        <v>41837</v>
      </c>
      <c r="G149" s="76" t="s">
        <v>287</v>
      </c>
      <c r="H149" s="76" t="s">
        <v>331</v>
      </c>
      <c r="I149" s="74">
        <v>1000</v>
      </c>
      <c r="J149" s="74">
        <v>25350</v>
      </c>
      <c r="K149" s="74">
        <v>10220</v>
      </c>
      <c r="L149" s="74">
        <v>15130</v>
      </c>
    </row>
    <row r="150" spans="1:12" x14ac:dyDescent="0.35">
      <c r="A150" s="74" t="s">
        <v>275</v>
      </c>
      <c r="B150" s="74" t="s">
        <v>283</v>
      </c>
      <c r="C150" s="74" t="s">
        <v>284</v>
      </c>
      <c r="D150" s="74" t="s">
        <v>285</v>
      </c>
      <c r="E150" s="75" t="s">
        <v>286</v>
      </c>
      <c r="F150" s="76">
        <v>41838</v>
      </c>
      <c r="G150" s="76" t="s">
        <v>308</v>
      </c>
      <c r="H150" s="76" t="s">
        <v>311</v>
      </c>
      <c r="I150" s="74">
        <v>500</v>
      </c>
      <c r="J150" s="74">
        <v>11545</v>
      </c>
      <c r="K150" s="74">
        <v>4920</v>
      </c>
      <c r="L150" s="74">
        <v>6625</v>
      </c>
    </row>
    <row r="151" spans="1:12" x14ac:dyDescent="0.35">
      <c r="A151" s="74" t="s">
        <v>305</v>
      </c>
      <c r="B151" s="74" t="s">
        <v>126</v>
      </c>
      <c r="C151" s="74" t="s">
        <v>312</v>
      </c>
      <c r="D151" s="74" t="s">
        <v>313</v>
      </c>
      <c r="E151" s="75" t="s">
        <v>303</v>
      </c>
      <c r="F151" s="76">
        <v>41838</v>
      </c>
      <c r="G151" s="76" t="s">
        <v>308</v>
      </c>
      <c r="H151" s="76" t="s">
        <v>340</v>
      </c>
      <c r="I151" s="74">
        <v>200</v>
      </c>
      <c r="J151" s="74">
        <v>4158</v>
      </c>
      <c r="K151" s="74">
        <v>1694</v>
      </c>
      <c r="L151" s="74">
        <v>2464</v>
      </c>
    </row>
    <row r="152" spans="1:12" x14ac:dyDescent="0.35">
      <c r="A152" s="74" t="s">
        <v>275</v>
      </c>
      <c r="B152" s="74" t="s">
        <v>276</v>
      </c>
      <c r="C152" s="74" t="s">
        <v>277</v>
      </c>
      <c r="D152" s="74" t="s">
        <v>278</v>
      </c>
      <c r="E152" s="75" t="s">
        <v>303</v>
      </c>
      <c r="F152" s="76">
        <v>41840</v>
      </c>
      <c r="G152" s="76" t="s">
        <v>310</v>
      </c>
      <c r="H152" s="76" t="s">
        <v>304</v>
      </c>
      <c r="I152" s="74">
        <v>600</v>
      </c>
      <c r="J152" s="74">
        <v>12684</v>
      </c>
      <c r="K152" s="74">
        <v>5082</v>
      </c>
      <c r="L152" s="74">
        <v>7602</v>
      </c>
    </row>
    <row r="153" spans="1:12" x14ac:dyDescent="0.35">
      <c r="A153" s="74" t="s">
        <v>305</v>
      </c>
      <c r="B153" s="74" t="s">
        <v>126</v>
      </c>
      <c r="C153" s="74" t="s">
        <v>306</v>
      </c>
      <c r="D153" s="74" t="s">
        <v>307</v>
      </c>
      <c r="E153" s="75" t="s">
        <v>303</v>
      </c>
      <c r="F153" s="76">
        <v>41842</v>
      </c>
      <c r="G153" s="76" t="s">
        <v>301</v>
      </c>
      <c r="H153" s="76" t="s">
        <v>309</v>
      </c>
      <c r="I153" s="74">
        <v>1000</v>
      </c>
      <c r="J153" s="74">
        <v>18660</v>
      </c>
      <c r="K153" s="74">
        <v>8470</v>
      </c>
      <c r="L153" s="74">
        <v>10190</v>
      </c>
    </row>
    <row r="154" spans="1:12" x14ac:dyDescent="0.35">
      <c r="A154" s="74" t="s">
        <v>282</v>
      </c>
      <c r="B154" s="74" t="s">
        <v>126</v>
      </c>
      <c r="C154" s="74" t="s">
        <v>312</v>
      </c>
      <c r="D154" s="74" t="s">
        <v>313</v>
      </c>
      <c r="E154" s="75" t="s">
        <v>286</v>
      </c>
      <c r="F154" s="76">
        <v>41843</v>
      </c>
      <c r="G154" s="76" t="s">
        <v>280</v>
      </c>
      <c r="H154" s="76" t="s">
        <v>314</v>
      </c>
      <c r="I154" s="74">
        <v>500</v>
      </c>
      <c r="J154" s="74">
        <v>11660</v>
      </c>
      <c r="K154" s="74">
        <v>4920</v>
      </c>
      <c r="L154" s="74">
        <v>6740</v>
      </c>
    </row>
    <row r="155" spans="1:12" x14ac:dyDescent="0.35">
      <c r="A155" s="74" t="s">
        <v>275</v>
      </c>
      <c r="B155" s="74" t="s">
        <v>276</v>
      </c>
      <c r="C155" s="74" t="s">
        <v>277</v>
      </c>
      <c r="D155" s="74" t="s">
        <v>278</v>
      </c>
      <c r="E155" s="75" t="s">
        <v>286</v>
      </c>
      <c r="F155" s="76">
        <v>41846</v>
      </c>
      <c r="G155" s="76" t="s">
        <v>292</v>
      </c>
      <c r="H155" s="76" t="s">
        <v>304</v>
      </c>
      <c r="I155" s="74">
        <v>800</v>
      </c>
      <c r="J155" s="74">
        <v>15816</v>
      </c>
      <c r="K155" s="74">
        <v>7872</v>
      </c>
      <c r="L155" s="74">
        <v>7944</v>
      </c>
    </row>
    <row r="156" spans="1:12" x14ac:dyDescent="0.35">
      <c r="A156" s="74" t="s">
        <v>325</v>
      </c>
      <c r="B156" s="74" t="s">
        <v>276</v>
      </c>
      <c r="C156" s="74" t="s">
        <v>320</v>
      </c>
      <c r="D156" s="74" t="s">
        <v>321</v>
      </c>
      <c r="E156" s="75" t="s">
        <v>279</v>
      </c>
      <c r="F156" s="76">
        <v>41847</v>
      </c>
      <c r="G156" s="76" t="s">
        <v>310</v>
      </c>
      <c r="H156" s="76" t="s">
        <v>339</v>
      </c>
      <c r="I156" s="74">
        <v>1000</v>
      </c>
      <c r="J156" s="74">
        <v>23890</v>
      </c>
      <c r="K156" s="74">
        <v>10220</v>
      </c>
      <c r="L156" s="74">
        <v>13670</v>
      </c>
    </row>
    <row r="157" spans="1:12" x14ac:dyDescent="0.35">
      <c r="A157" s="74" t="s">
        <v>282</v>
      </c>
      <c r="B157" s="74" t="s">
        <v>283</v>
      </c>
      <c r="C157" s="74" t="s">
        <v>284</v>
      </c>
      <c r="D157" s="74" t="s">
        <v>285</v>
      </c>
      <c r="E157" s="75" t="s">
        <v>286</v>
      </c>
      <c r="F157" s="76">
        <v>41848</v>
      </c>
      <c r="G157" s="76" t="s">
        <v>318</v>
      </c>
      <c r="H157" s="76" t="s">
        <v>288</v>
      </c>
      <c r="I157" s="74">
        <v>600</v>
      </c>
      <c r="J157" s="74">
        <v>13866</v>
      </c>
      <c r="K157" s="74">
        <v>5904</v>
      </c>
      <c r="L157" s="74">
        <v>7962</v>
      </c>
    </row>
    <row r="158" spans="1:12" x14ac:dyDescent="0.35">
      <c r="A158" s="74" t="s">
        <v>275</v>
      </c>
      <c r="B158" s="74" t="s">
        <v>128</v>
      </c>
      <c r="C158" s="74" t="s">
        <v>299</v>
      </c>
      <c r="D158" s="74" t="s">
        <v>300</v>
      </c>
      <c r="E158" s="75" t="s">
        <v>303</v>
      </c>
      <c r="F158" s="76">
        <v>41849</v>
      </c>
      <c r="G158" s="76" t="s">
        <v>301</v>
      </c>
      <c r="H158" s="76" t="s">
        <v>335</v>
      </c>
      <c r="I158" s="74">
        <v>1000</v>
      </c>
      <c r="J158" s="74">
        <v>17840</v>
      </c>
      <c r="K158" s="74">
        <v>8470</v>
      </c>
      <c r="L158" s="74">
        <v>9370</v>
      </c>
    </row>
    <row r="159" spans="1:12" x14ac:dyDescent="0.35">
      <c r="A159" s="74" t="s">
        <v>305</v>
      </c>
      <c r="B159" s="74" t="s">
        <v>126</v>
      </c>
      <c r="C159" s="74" t="s">
        <v>306</v>
      </c>
      <c r="D159" s="74" t="s">
        <v>307</v>
      </c>
      <c r="E159" s="75" t="s">
        <v>303</v>
      </c>
      <c r="F159" s="76">
        <v>41849</v>
      </c>
      <c r="G159" s="76" t="s">
        <v>301</v>
      </c>
      <c r="H159" s="76" t="s">
        <v>309</v>
      </c>
      <c r="I159" s="74">
        <v>800</v>
      </c>
      <c r="J159" s="74">
        <v>13936</v>
      </c>
      <c r="K159" s="74">
        <v>6776</v>
      </c>
      <c r="L159" s="74">
        <v>7160</v>
      </c>
    </row>
    <row r="160" spans="1:12" x14ac:dyDescent="0.35">
      <c r="A160" s="74" t="s">
        <v>275</v>
      </c>
      <c r="B160" s="74" t="s">
        <v>283</v>
      </c>
      <c r="C160" s="74" t="s">
        <v>284</v>
      </c>
      <c r="D160" s="74" t="s">
        <v>285</v>
      </c>
      <c r="E160" s="75" t="s">
        <v>279</v>
      </c>
      <c r="F160" s="76">
        <v>41850</v>
      </c>
      <c r="G160" s="76" t="s">
        <v>280</v>
      </c>
      <c r="H160" s="76" t="s">
        <v>319</v>
      </c>
      <c r="I160" s="74">
        <v>600</v>
      </c>
      <c r="J160" s="74">
        <v>12984</v>
      </c>
      <c r="K160" s="74">
        <v>6132</v>
      </c>
      <c r="L160" s="74">
        <v>6852</v>
      </c>
    </row>
    <row r="161" spans="1:12" x14ac:dyDescent="0.35">
      <c r="A161" s="74" t="s">
        <v>298</v>
      </c>
      <c r="B161" s="74" t="s">
        <v>283</v>
      </c>
      <c r="C161" s="74" t="s">
        <v>284</v>
      </c>
      <c r="D161" s="74" t="s">
        <v>285</v>
      </c>
      <c r="E161" s="75" t="s">
        <v>286</v>
      </c>
      <c r="F161" s="76">
        <v>41851</v>
      </c>
      <c r="G161" s="76" t="s">
        <v>287</v>
      </c>
      <c r="H161" s="76" t="s">
        <v>315</v>
      </c>
      <c r="I161" s="74">
        <v>1000</v>
      </c>
      <c r="J161" s="74">
        <v>21800</v>
      </c>
      <c r="K161" s="74">
        <v>9840</v>
      </c>
      <c r="L161" s="74">
        <v>11960</v>
      </c>
    </row>
    <row r="162" spans="1:12" x14ac:dyDescent="0.35">
      <c r="A162" s="74" t="s">
        <v>305</v>
      </c>
      <c r="B162" s="74" t="s">
        <v>126</v>
      </c>
      <c r="C162" s="74" t="s">
        <v>306</v>
      </c>
      <c r="D162" s="74" t="s">
        <v>307</v>
      </c>
      <c r="E162" s="75" t="s">
        <v>303</v>
      </c>
      <c r="F162" s="76">
        <v>41851</v>
      </c>
      <c r="G162" s="76" t="s">
        <v>287</v>
      </c>
      <c r="H162" s="76" t="s">
        <v>309</v>
      </c>
      <c r="I162" s="74">
        <v>300</v>
      </c>
      <c r="J162" s="74">
        <v>5508</v>
      </c>
      <c r="K162" s="74">
        <v>2541</v>
      </c>
      <c r="L162" s="74">
        <v>2967</v>
      </c>
    </row>
    <row r="163" spans="1:12" x14ac:dyDescent="0.35">
      <c r="A163" s="74" t="s">
        <v>289</v>
      </c>
      <c r="B163" s="74" t="s">
        <v>126</v>
      </c>
      <c r="C163" s="74" t="s">
        <v>290</v>
      </c>
      <c r="D163" s="74" t="s">
        <v>291</v>
      </c>
      <c r="E163" s="75" t="s">
        <v>279</v>
      </c>
      <c r="F163" s="76">
        <v>41854</v>
      </c>
      <c r="G163" s="76" t="s">
        <v>310</v>
      </c>
      <c r="H163" s="76" t="s">
        <v>323</v>
      </c>
      <c r="I163" s="74">
        <v>400</v>
      </c>
      <c r="J163" s="74">
        <v>9704</v>
      </c>
      <c r="K163" s="74">
        <v>4088</v>
      </c>
      <c r="L163" s="74">
        <v>5616</v>
      </c>
    </row>
    <row r="164" spans="1:12" x14ac:dyDescent="0.35">
      <c r="A164" s="74" t="s">
        <v>305</v>
      </c>
      <c r="B164" s="74" t="s">
        <v>126</v>
      </c>
      <c r="C164" s="74" t="s">
        <v>312</v>
      </c>
      <c r="D164" s="74" t="s">
        <v>313</v>
      </c>
      <c r="E164" s="75" t="s">
        <v>279</v>
      </c>
      <c r="F164" s="76">
        <v>41855</v>
      </c>
      <c r="G164" s="76" t="s">
        <v>318</v>
      </c>
      <c r="H164" s="76" t="s">
        <v>340</v>
      </c>
      <c r="I164" s="74">
        <v>600</v>
      </c>
      <c r="J164" s="74">
        <v>13962</v>
      </c>
      <c r="K164" s="74">
        <v>6132</v>
      </c>
      <c r="L164" s="74">
        <v>7830</v>
      </c>
    </row>
    <row r="165" spans="1:12" x14ac:dyDescent="0.35">
      <c r="A165" s="74" t="s">
        <v>289</v>
      </c>
      <c r="B165" s="74" t="s">
        <v>126</v>
      </c>
      <c r="C165" s="74" t="s">
        <v>290</v>
      </c>
      <c r="D165" s="74" t="s">
        <v>291</v>
      </c>
      <c r="E165" s="75" t="s">
        <v>303</v>
      </c>
      <c r="F165" s="76">
        <v>41856</v>
      </c>
      <c r="G165" s="76" t="s">
        <v>301</v>
      </c>
      <c r="H165" s="76" t="s">
        <v>323</v>
      </c>
      <c r="I165" s="74">
        <v>700</v>
      </c>
      <c r="J165" s="74">
        <v>13433</v>
      </c>
      <c r="K165" s="74">
        <v>5929</v>
      </c>
      <c r="L165" s="74">
        <v>7504</v>
      </c>
    </row>
    <row r="166" spans="1:12" x14ac:dyDescent="0.35">
      <c r="A166" s="74" t="s">
        <v>298</v>
      </c>
      <c r="B166" s="74" t="s">
        <v>126</v>
      </c>
      <c r="C166" s="74" t="s">
        <v>329</v>
      </c>
      <c r="D166" s="74" t="s">
        <v>330</v>
      </c>
      <c r="E166" s="75" t="s">
        <v>303</v>
      </c>
      <c r="F166" s="76">
        <v>41857</v>
      </c>
      <c r="G166" s="76" t="s">
        <v>280</v>
      </c>
      <c r="H166" s="76" t="s">
        <v>331</v>
      </c>
      <c r="I166" s="74">
        <v>800</v>
      </c>
      <c r="J166" s="74">
        <v>15288</v>
      </c>
      <c r="K166" s="74">
        <v>6776</v>
      </c>
      <c r="L166" s="74">
        <v>8512</v>
      </c>
    </row>
    <row r="167" spans="1:12" x14ac:dyDescent="0.35">
      <c r="A167" s="74" t="s">
        <v>275</v>
      </c>
      <c r="B167" s="74" t="s">
        <v>276</v>
      </c>
      <c r="C167" s="74" t="s">
        <v>277</v>
      </c>
      <c r="D167" s="74" t="s">
        <v>278</v>
      </c>
      <c r="E167" s="75" t="s">
        <v>279</v>
      </c>
      <c r="F167" s="76">
        <v>41857</v>
      </c>
      <c r="G167" s="76" t="s">
        <v>280</v>
      </c>
      <c r="H167" s="76" t="s">
        <v>304</v>
      </c>
      <c r="I167" s="74">
        <v>900</v>
      </c>
      <c r="J167" s="74">
        <v>19584</v>
      </c>
      <c r="K167" s="74">
        <v>9198</v>
      </c>
      <c r="L167" s="74">
        <v>10386</v>
      </c>
    </row>
    <row r="168" spans="1:12" x14ac:dyDescent="0.35">
      <c r="A168" s="74" t="s">
        <v>275</v>
      </c>
      <c r="B168" s="74" t="s">
        <v>283</v>
      </c>
      <c r="C168" s="74" t="s">
        <v>284</v>
      </c>
      <c r="D168" s="74" t="s">
        <v>285</v>
      </c>
      <c r="E168" s="75" t="s">
        <v>279</v>
      </c>
      <c r="F168" s="76">
        <v>41858</v>
      </c>
      <c r="G168" s="76" t="s">
        <v>287</v>
      </c>
      <c r="H168" s="76" t="s">
        <v>319</v>
      </c>
      <c r="I168" s="74">
        <v>100</v>
      </c>
      <c r="J168" s="74">
        <v>2320</v>
      </c>
      <c r="K168" s="74">
        <v>1022</v>
      </c>
      <c r="L168" s="74">
        <v>1298</v>
      </c>
    </row>
    <row r="169" spans="1:12" x14ac:dyDescent="0.35">
      <c r="A169" s="74" t="s">
        <v>282</v>
      </c>
      <c r="B169" s="74" t="s">
        <v>126</v>
      </c>
      <c r="C169" s="74" t="s">
        <v>312</v>
      </c>
      <c r="D169" s="74" t="s">
        <v>313</v>
      </c>
      <c r="E169" s="75" t="s">
        <v>286</v>
      </c>
      <c r="F169" s="76">
        <v>41863</v>
      </c>
      <c r="G169" s="76" t="s">
        <v>301</v>
      </c>
      <c r="H169" s="76" t="s">
        <v>314</v>
      </c>
      <c r="I169" s="74">
        <v>800</v>
      </c>
      <c r="J169" s="74">
        <v>16936</v>
      </c>
      <c r="K169" s="74">
        <v>7872</v>
      </c>
      <c r="L169" s="74">
        <v>9064</v>
      </c>
    </row>
    <row r="170" spans="1:12" x14ac:dyDescent="0.35">
      <c r="A170" s="74" t="s">
        <v>275</v>
      </c>
      <c r="B170" s="74" t="s">
        <v>276</v>
      </c>
      <c r="C170" s="74" t="s">
        <v>277</v>
      </c>
      <c r="D170" s="74" t="s">
        <v>278</v>
      </c>
      <c r="E170" s="75" t="s">
        <v>303</v>
      </c>
      <c r="F170" s="76">
        <v>41865</v>
      </c>
      <c r="G170" s="76" t="s">
        <v>287</v>
      </c>
      <c r="H170" s="76" t="s">
        <v>281</v>
      </c>
      <c r="I170" s="74">
        <v>300</v>
      </c>
      <c r="J170" s="74">
        <v>6138</v>
      </c>
      <c r="K170" s="74">
        <v>2541</v>
      </c>
      <c r="L170" s="74">
        <v>3597</v>
      </c>
    </row>
    <row r="171" spans="1:12" x14ac:dyDescent="0.35">
      <c r="A171" s="74" t="s">
        <v>275</v>
      </c>
      <c r="B171" s="74" t="s">
        <v>283</v>
      </c>
      <c r="C171" s="74" t="s">
        <v>284</v>
      </c>
      <c r="D171" s="74" t="s">
        <v>285</v>
      </c>
      <c r="E171" s="75" t="s">
        <v>286</v>
      </c>
      <c r="F171" s="76">
        <v>41865</v>
      </c>
      <c r="G171" s="76" t="s">
        <v>287</v>
      </c>
      <c r="H171" s="76" t="s">
        <v>311</v>
      </c>
      <c r="I171" s="74">
        <v>600</v>
      </c>
      <c r="J171" s="74">
        <v>12030</v>
      </c>
      <c r="K171" s="74">
        <v>5904</v>
      </c>
      <c r="L171" s="74">
        <v>6126</v>
      </c>
    </row>
    <row r="172" spans="1:12" x14ac:dyDescent="0.35">
      <c r="A172" s="74" t="s">
        <v>298</v>
      </c>
      <c r="B172" s="74" t="s">
        <v>126</v>
      </c>
      <c r="C172" s="74" t="s">
        <v>329</v>
      </c>
      <c r="D172" s="74" t="s">
        <v>330</v>
      </c>
      <c r="E172" s="75" t="s">
        <v>279</v>
      </c>
      <c r="F172" s="76">
        <v>41867</v>
      </c>
      <c r="G172" s="76" t="s">
        <v>292</v>
      </c>
      <c r="H172" s="76" t="s">
        <v>331</v>
      </c>
      <c r="I172" s="74">
        <v>400</v>
      </c>
      <c r="J172" s="74">
        <v>9384</v>
      </c>
      <c r="K172" s="74">
        <v>4088</v>
      </c>
      <c r="L172" s="74">
        <v>5296</v>
      </c>
    </row>
    <row r="173" spans="1:12" x14ac:dyDescent="0.35">
      <c r="A173" s="74" t="s">
        <v>289</v>
      </c>
      <c r="B173" s="74" t="s">
        <v>126</v>
      </c>
      <c r="C173" s="74" t="s">
        <v>290</v>
      </c>
      <c r="D173" s="74" t="s">
        <v>291</v>
      </c>
      <c r="E173" s="75" t="s">
        <v>303</v>
      </c>
      <c r="F173" s="76">
        <v>41868</v>
      </c>
      <c r="G173" s="76" t="s">
        <v>310</v>
      </c>
      <c r="H173" s="76" t="s">
        <v>323</v>
      </c>
      <c r="I173" s="74">
        <v>300</v>
      </c>
      <c r="J173" s="74">
        <v>5904</v>
      </c>
      <c r="K173" s="74">
        <v>2541</v>
      </c>
      <c r="L173" s="74">
        <v>3363</v>
      </c>
    </row>
    <row r="174" spans="1:12" x14ac:dyDescent="0.35">
      <c r="A174" s="74" t="s">
        <v>289</v>
      </c>
      <c r="B174" s="74" t="s">
        <v>126</v>
      </c>
      <c r="C174" s="74" t="s">
        <v>290</v>
      </c>
      <c r="D174" s="74" t="s">
        <v>291</v>
      </c>
      <c r="E174" s="75" t="s">
        <v>303</v>
      </c>
      <c r="F174" s="76">
        <v>41870</v>
      </c>
      <c r="G174" s="76" t="s">
        <v>301</v>
      </c>
      <c r="H174" s="76" t="s">
        <v>323</v>
      </c>
      <c r="I174" s="74">
        <v>1000</v>
      </c>
      <c r="J174" s="74">
        <v>21120</v>
      </c>
      <c r="K174" s="74">
        <v>8470</v>
      </c>
      <c r="L174" s="74">
        <v>12650</v>
      </c>
    </row>
    <row r="175" spans="1:12" x14ac:dyDescent="0.35">
      <c r="A175" s="74" t="s">
        <v>298</v>
      </c>
      <c r="B175" s="74" t="s">
        <v>126</v>
      </c>
      <c r="C175" s="74" t="s">
        <v>329</v>
      </c>
      <c r="D175" s="74" t="s">
        <v>330</v>
      </c>
      <c r="E175" s="75" t="s">
        <v>279</v>
      </c>
      <c r="F175" s="76">
        <v>41871</v>
      </c>
      <c r="G175" s="76" t="s">
        <v>280</v>
      </c>
      <c r="H175" s="76" t="s">
        <v>331</v>
      </c>
      <c r="I175" s="74">
        <v>900</v>
      </c>
      <c r="J175" s="74">
        <v>18684</v>
      </c>
      <c r="K175" s="74">
        <v>9198</v>
      </c>
      <c r="L175" s="74">
        <v>9486</v>
      </c>
    </row>
    <row r="176" spans="1:12" x14ac:dyDescent="0.35">
      <c r="A176" s="74" t="s">
        <v>275</v>
      </c>
      <c r="B176" s="74" t="s">
        <v>276</v>
      </c>
      <c r="C176" s="74" t="s">
        <v>277</v>
      </c>
      <c r="D176" s="74" t="s">
        <v>278</v>
      </c>
      <c r="E176" s="75" t="s">
        <v>303</v>
      </c>
      <c r="F176" s="76">
        <v>41871</v>
      </c>
      <c r="G176" s="76" t="s">
        <v>280</v>
      </c>
      <c r="H176" s="76" t="s">
        <v>281</v>
      </c>
      <c r="I176" s="74">
        <v>100</v>
      </c>
      <c r="J176" s="74">
        <v>1836</v>
      </c>
      <c r="K176" s="74">
        <v>847</v>
      </c>
      <c r="L176" s="74">
        <v>989</v>
      </c>
    </row>
    <row r="177" spans="1:12" x14ac:dyDescent="0.35">
      <c r="A177" s="74" t="s">
        <v>282</v>
      </c>
      <c r="B177" s="74" t="s">
        <v>126</v>
      </c>
      <c r="C177" s="74" t="s">
        <v>312</v>
      </c>
      <c r="D177" s="74" t="s">
        <v>313</v>
      </c>
      <c r="E177" s="75" t="s">
        <v>279</v>
      </c>
      <c r="F177" s="76">
        <v>41873</v>
      </c>
      <c r="G177" s="76" t="s">
        <v>308</v>
      </c>
      <c r="H177" s="76" t="s">
        <v>314</v>
      </c>
      <c r="I177" s="74">
        <v>600</v>
      </c>
      <c r="J177" s="74">
        <v>15006</v>
      </c>
      <c r="K177" s="74">
        <v>6132</v>
      </c>
      <c r="L177" s="74">
        <v>8874</v>
      </c>
    </row>
    <row r="178" spans="1:12" x14ac:dyDescent="0.35">
      <c r="A178" s="74" t="s">
        <v>298</v>
      </c>
      <c r="B178" s="74" t="s">
        <v>283</v>
      </c>
      <c r="C178" s="74" t="s">
        <v>284</v>
      </c>
      <c r="D178" s="74" t="s">
        <v>285</v>
      </c>
      <c r="E178" s="75" t="s">
        <v>286</v>
      </c>
      <c r="F178" s="76">
        <v>41873</v>
      </c>
      <c r="G178" s="76" t="s">
        <v>308</v>
      </c>
      <c r="H178" s="76" t="s">
        <v>315</v>
      </c>
      <c r="I178" s="74">
        <v>900</v>
      </c>
      <c r="J178" s="74">
        <v>19989</v>
      </c>
      <c r="K178" s="74">
        <v>8856</v>
      </c>
      <c r="L178" s="74">
        <v>11133</v>
      </c>
    </row>
    <row r="179" spans="1:12" x14ac:dyDescent="0.35">
      <c r="A179" s="74" t="s">
        <v>294</v>
      </c>
      <c r="B179" s="74" t="s">
        <v>128</v>
      </c>
      <c r="C179" s="74" t="s">
        <v>299</v>
      </c>
      <c r="D179" s="74" t="s">
        <v>300</v>
      </c>
      <c r="E179" s="75" t="s">
        <v>316</v>
      </c>
      <c r="F179" s="76">
        <v>41876</v>
      </c>
      <c r="G179" s="76" t="s">
        <v>318</v>
      </c>
      <c r="H179" s="76" t="s">
        <v>332</v>
      </c>
      <c r="I179" s="74">
        <v>800</v>
      </c>
      <c r="J179" s="74">
        <v>17856</v>
      </c>
      <c r="K179" s="74">
        <v>8176</v>
      </c>
      <c r="L179" s="74">
        <v>9680</v>
      </c>
    </row>
    <row r="180" spans="1:12" x14ac:dyDescent="0.35">
      <c r="A180" s="74" t="s">
        <v>275</v>
      </c>
      <c r="B180" s="74" t="s">
        <v>276</v>
      </c>
      <c r="C180" s="74" t="s">
        <v>277</v>
      </c>
      <c r="D180" s="74" t="s">
        <v>278</v>
      </c>
      <c r="E180" s="75" t="s">
        <v>303</v>
      </c>
      <c r="F180" s="76">
        <v>41876</v>
      </c>
      <c r="G180" s="76" t="s">
        <v>318</v>
      </c>
      <c r="H180" s="76" t="s">
        <v>281</v>
      </c>
      <c r="I180" s="74">
        <v>100</v>
      </c>
      <c r="J180" s="74">
        <v>1913</v>
      </c>
      <c r="K180" s="74">
        <v>847</v>
      </c>
      <c r="L180" s="74">
        <v>1066</v>
      </c>
    </row>
    <row r="181" spans="1:12" x14ac:dyDescent="0.35">
      <c r="A181" s="74" t="s">
        <v>275</v>
      </c>
      <c r="B181" s="74" t="s">
        <v>283</v>
      </c>
      <c r="C181" s="74" t="s">
        <v>284</v>
      </c>
      <c r="D181" s="74" t="s">
        <v>285</v>
      </c>
      <c r="E181" s="75" t="s">
        <v>279</v>
      </c>
      <c r="F181" s="76">
        <v>41876</v>
      </c>
      <c r="G181" s="76" t="s">
        <v>318</v>
      </c>
      <c r="H181" s="76" t="s">
        <v>319</v>
      </c>
      <c r="I181" s="74">
        <v>400</v>
      </c>
      <c r="J181" s="74">
        <v>8744</v>
      </c>
      <c r="K181" s="74">
        <v>4088</v>
      </c>
      <c r="L181" s="74">
        <v>4656</v>
      </c>
    </row>
    <row r="182" spans="1:12" x14ac:dyDescent="0.35">
      <c r="A182" s="74" t="s">
        <v>298</v>
      </c>
      <c r="B182" s="74" t="s">
        <v>283</v>
      </c>
      <c r="C182" s="74" t="s">
        <v>284</v>
      </c>
      <c r="D182" s="74" t="s">
        <v>285</v>
      </c>
      <c r="E182" s="75" t="s">
        <v>279</v>
      </c>
      <c r="F182" s="76">
        <v>41877</v>
      </c>
      <c r="G182" s="76" t="s">
        <v>301</v>
      </c>
      <c r="H182" s="76" t="s">
        <v>315</v>
      </c>
      <c r="I182" s="74">
        <v>900</v>
      </c>
      <c r="J182" s="74">
        <v>19368</v>
      </c>
      <c r="K182" s="74">
        <v>9198</v>
      </c>
      <c r="L182" s="74">
        <v>10170</v>
      </c>
    </row>
    <row r="183" spans="1:12" x14ac:dyDescent="0.35">
      <c r="A183" s="74" t="s">
        <v>305</v>
      </c>
      <c r="B183" s="74" t="s">
        <v>276</v>
      </c>
      <c r="C183" s="74" t="s">
        <v>326</v>
      </c>
      <c r="D183" s="74" t="s">
        <v>327</v>
      </c>
      <c r="E183" s="75" t="s">
        <v>303</v>
      </c>
      <c r="F183" s="76">
        <v>41878</v>
      </c>
      <c r="G183" s="76" t="s">
        <v>280</v>
      </c>
      <c r="H183" s="76" t="s">
        <v>334</v>
      </c>
      <c r="I183" s="74">
        <v>100</v>
      </c>
      <c r="J183" s="74">
        <v>1819</v>
      </c>
      <c r="K183" s="74">
        <v>847</v>
      </c>
      <c r="L183" s="74">
        <v>972</v>
      </c>
    </row>
    <row r="184" spans="1:12" x14ac:dyDescent="0.35">
      <c r="A184" s="74" t="s">
        <v>282</v>
      </c>
      <c r="B184" s="74" t="s">
        <v>126</v>
      </c>
      <c r="C184" s="74" t="s">
        <v>312</v>
      </c>
      <c r="D184" s="74" t="s">
        <v>313</v>
      </c>
      <c r="E184" s="75" t="s">
        <v>279</v>
      </c>
      <c r="F184" s="76">
        <v>41879</v>
      </c>
      <c r="G184" s="76" t="s">
        <v>287</v>
      </c>
      <c r="H184" s="76" t="s">
        <v>314</v>
      </c>
      <c r="I184" s="74">
        <v>500</v>
      </c>
      <c r="J184" s="74">
        <v>10990</v>
      </c>
      <c r="K184" s="74">
        <v>5110</v>
      </c>
      <c r="L184" s="74">
        <v>5880</v>
      </c>
    </row>
    <row r="185" spans="1:12" x14ac:dyDescent="0.35">
      <c r="A185" s="74" t="s">
        <v>282</v>
      </c>
      <c r="B185" s="74" t="s">
        <v>126</v>
      </c>
      <c r="C185" s="74" t="s">
        <v>312</v>
      </c>
      <c r="D185" s="74" t="s">
        <v>313</v>
      </c>
      <c r="E185" s="75" t="s">
        <v>279</v>
      </c>
      <c r="F185" s="76">
        <v>41879</v>
      </c>
      <c r="G185" s="76" t="s">
        <v>287</v>
      </c>
      <c r="H185" s="76" t="s">
        <v>314</v>
      </c>
      <c r="I185" s="74">
        <v>200</v>
      </c>
      <c r="J185" s="74">
        <v>4440</v>
      </c>
      <c r="K185" s="74">
        <v>2044</v>
      </c>
      <c r="L185" s="74">
        <v>2396</v>
      </c>
    </row>
    <row r="186" spans="1:12" x14ac:dyDescent="0.35">
      <c r="A186" s="74" t="s">
        <v>282</v>
      </c>
      <c r="B186" s="74" t="s">
        <v>283</v>
      </c>
      <c r="C186" s="74" t="s">
        <v>284</v>
      </c>
      <c r="D186" s="74" t="s">
        <v>285</v>
      </c>
      <c r="E186" s="75" t="s">
        <v>303</v>
      </c>
      <c r="F186" s="76">
        <v>41880</v>
      </c>
      <c r="G186" s="76" t="s">
        <v>308</v>
      </c>
      <c r="H186" s="76" t="s">
        <v>288</v>
      </c>
      <c r="I186" s="74">
        <v>300</v>
      </c>
      <c r="J186" s="74">
        <v>6309</v>
      </c>
      <c r="K186" s="74">
        <v>2541</v>
      </c>
      <c r="L186" s="74">
        <v>3768</v>
      </c>
    </row>
    <row r="187" spans="1:12" x14ac:dyDescent="0.35">
      <c r="A187" s="74" t="s">
        <v>298</v>
      </c>
      <c r="B187" s="74" t="s">
        <v>126</v>
      </c>
      <c r="C187" s="74" t="s">
        <v>329</v>
      </c>
      <c r="D187" s="74" t="s">
        <v>330</v>
      </c>
      <c r="E187" s="75" t="s">
        <v>286</v>
      </c>
      <c r="F187" s="76">
        <v>41881</v>
      </c>
      <c r="G187" s="76" t="s">
        <v>292</v>
      </c>
      <c r="H187" s="76" t="s">
        <v>331</v>
      </c>
      <c r="I187" s="74">
        <v>800</v>
      </c>
      <c r="J187" s="74">
        <v>18904</v>
      </c>
      <c r="K187" s="74">
        <v>7872</v>
      </c>
      <c r="L187" s="74">
        <v>11032</v>
      </c>
    </row>
    <row r="188" spans="1:12" x14ac:dyDescent="0.35">
      <c r="A188" s="74" t="s">
        <v>298</v>
      </c>
      <c r="B188" s="74" t="s">
        <v>283</v>
      </c>
      <c r="C188" s="74" t="s">
        <v>284</v>
      </c>
      <c r="D188" s="74" t="s">
        <v>285</v>
      </c>
      <c r="E188" s="75" t="s">
        <v>279</v>
      </c>
      <c r="F188" s="76">
        <v>41883</v>
      </c>
      <c r="G188" s="76" t="s">
        <v>318</v>
      </c>
      <c r="H188" s="76" t="s">
        <v>341</v>
      </c>
      <c r="I188" s="74">
        <v>800</v>
      </c>
      <c r="J188" s="74">
        <v>18072</v>
      </c>
      <c r="K188" s="74">
        <v>8176</v>
      </c>
      <c r="L188" s="74">
        <v>9896</v>
      </c>
    </row>
    <row r="189" spans="1:12" x14ac:dyDescent="0.35">
      <c r="A189" s="74" t="s">
        <v>305</v>
      </c>
      <c r="B189" s="74" t="s">
        <v>126</v>
      </c>
      <c r="C189" s="74" t="s">
        <v>306</v>
      </c>
      <c r="D189" s="74" t="s">
        <v>307</v>
      </c>
      <c r="E189" s="75" t="s">
        <v>303</v>
      </c>
      <c r="F189" s="76">
        <v>41883</v>
      </c>
      <c r="G189" s="76" t="s">
        <v>318</v>
      </c>
      <c r="H189" s="76" t="s">
        <v>309</v>
      </c>
      <c r="I189" s="74">
        <v>100</v>
      </c>
      <c r="J189" s="74">
        <v>2012</v>
      </c>
      <c r="K189" s="74">
        <v>847</v>
      </c>
      <c r="L189" s="74">
        <v>1165</v>
      </c>
    </row>
    <row r="190" spans="1:12" x14ac:dyDescent="0.35">
      <c r="A190" s="74" t="s">
        <v>275</v>
      </c>
      <c r="B190" s="74" t="s">
        <v>276</v>
      </c>
      <c r="C190" s="74" t="s">
        <v>277</v>
      </c>
      <c r="D190" s="74" t="s">
        <v>278</v>
      </c>
      <c r="E190" s="75" t="s">
        <v>303</v>
      </c>
      <c r="F190" s="76">
        <v>41886</v>
      </c>
      <c r="G190" s="76" t="s">
        <v>287</v>
      </c>
      <c r="H190" s="76" t="s">
        <v>281</v>
      </c>
      <c r="I190" s="74">
        <v>500</v>
      </c>
      <c r="J190" s="74">
        <v>10295</v>
      </c>
      <c r="K190" s="74">
        <v>4235</v>
      </c>
      <c r="L190" s="74">
        <v>6060</v>
      </c>
    </row>
    <row r="191" spans="1:12" x14ac:dyDescent="0.35">
      <c r="A191" s="74" t="s">
        <v>275</v>
      </c>
      <c r="B191" s="74" t="s">
        <v>276</v>
      </c>
      <c r="C191" s="74" t="s">
        <v>277</v>
      </c>
      <c r="D191" s="74" t="s">
        <v>278</v>
      </c>
      <c r="E191" s="75" t="s">
        <v>303</v>
      </c>
      <c r="F191" s="76">
        <v>41887</v>
      </c>
      <c r="G191" s="76" t="s">
        <v>308</v>
      </c>
      <c r="H191" s="76" t="s">
        <v>281</v>
      </c>
      <c r="I191" s="74">
        <v>400</v>
      </c>
      <c r="J191" s="74">
        <v>7944</v>
      </c>
      <c r="K191" s="74">
        <v>3388</v>
      </c>
      <c r="L191" s="74">
        <v>4556</v>
      </c>
    </row>
    <row r="192" spans="1:12" x14ac:dyDescent="0.35">
      <c r="A192" s="74" t="s">
        <v>275</v>
      </c>
      <c r="B192" s="74" t="s">
        <v>283</v>
      </c>
      <c r="C192" s="74" t="s">
        <v>284</v>
      </c>
      <c r="D192" s="74" t="s">
        <v>285</v>
      </c>
      <c r="E192" s="75" t="s">
        <v>303</v>
      </c>
      <c r="F192" s="76">
        <v>41888</v>
      </c>
      <c r="G192" s="76" t="s">
        <v>292</v>
      </c>
      <c r="H192" s="76" t="s">
        <v>311</v>
      </c>
      <c r="I192" s="74">
        <v>100</v>
      </c>
      <c r="J192" s="74">
        <v>1957</v>
      </c>
      <c r="K192" s="74">
        <v>847</v>
      </c>
      <c r="L192" s="74">
        <v>1110</v>
      </c>
    </row>
    <row r="193" spans="1:12" x14ac:dyDescent="0.35">
      <c r="A193" s="74" t="s">
        <v>282</v>
      </c>
      <c r="B193" s="74" t="s">
        <v>283</v>
      </c>
      <c r="C193" s="74" t="s">
        <v>284</v>
      </c>
      <c r="D193" s="74" t="s">
        <v>285</v>
      </c>
      <c r="E193" s="75" t="s">
        <v>286</v>
      </c>
      <c r="F193" s="76">
        <v>41892</v>
      </c>
      <c r="G193" s="76" t="s">
        <v>280</v>
      </c>
      <c r="H193" s="76" t="s">
        <v>288</v>
      </c>
      <c r="I193" s="74">
        <v>700</v>
      </c>
      <c r="J193" s="74">
        <v>15680</v>
      </c>
      <c r="K193" s="74">
        <v>6888</v>
      </c>
      <c r="L193" s="74">
        <v>8792</v>
      </c>
    </row>
    <row r="194" spans="1:12" x14ac:dyDescent="0.35">
      <c r="A194" s="74" t="s">
        <v>282</v>
      </c>
      <c r="B194" s="74" t="s">
        <v>126</v>
      </c>
      <c r="C194" s="74" t="s">
        <v>312</v>
      </c>
      <c r="D194" s="74" t="s">
        <v>313</v>
      </c>
      <c r="E194" s="75" t="s">
        <v>286</v>
      </c>
      <c r="F194" s="76">
        <v>41892</v>
      </c>
      <c r="G194" s="76" t="s">
        <v>280</v>
      </c>
      <c r="H194" s="76" t="s">
        <v>314</v>
      </c>
      <c r="I194" s="74">
        <v>600</v>
      </c>
      <c r="J194" s="74">
        <v>12756</v>
      </c>
      <c r="K194" s="74">
        <v>5904</v>
      </c>
      <c r="L194" s="74">
        <v>6852</v>
      </c>
    </row>
    <row r="195" spans="1:12" x14ac:dyDescent="0.35">
      <c r="A195" s="74" t="s">
        <v>289</v>
      </c>
      <c r="B195" s="74" t="s">
        <v>126</v>
      </c>
      <c r="C195" s="74" t="s">
        <v>290</v>
      </c>
      <c r="D195" s="74" t="s">
        <v>291</v>
      </c>
      <c r="E195" s="75" t="s">
        <v>303</v>
      </c>
      <c r="F195" s="76">
        <v>41893</v>
      </c>
      <c r="G195" s="76" t="s">
        <v>287</v>
      </c>
      <c r="H195" s="76" t="s">
        <v>323</v>
      </c>
      <c r="I195" s="74">
        <v>300</v>
      </c>
      <c r="J195" s="74">
        <v>5826</v>
      </c>
      <c r="K195" s="74">
        <v>2541</v>
      </c>
      <c r="L195" s="74">
        <v>3285</v>
      </c>
    </row>
    <row r="196" spans="1:12" x14ac:dyDescent="0.35">
      <c r="A196" s="74" t="s">
        <v>298</v>
      </c>
      <c r="B196" s="74" t="s">
        <v>283</v>
      </c>
      <c r="C196" s="74" t="s">
        <v>284</v>
      </c>
      <c r="D196" s="74" t="s">
        <v>285</v>
      </c>
      <c r="E196" s="75" t="s">
        <v>279</v>
      </c>
      <c r="F196" s="76">
        <v>41895</v>
      </c>
      <c r="G196" s="76" t="s">
        <v>292</v>
      </c>
      <c r="H196" s="76" t="s">
        <v>315</v>
      </c>
      <c r="I196" s="74">
        <v>800</v>
      </c>
      <c r="J196" s="74">
        <v>20008</v>
      </c>
      <c r="K196" s="74">
        <v>8176</v>
      </c>
      <c r="L196" s="74">
        <v>11832</v>
      </c>
    </row>
    <row r="197" spans="1:12" x14ac:dyDescent="0.35">
      <c r="A197" s="74" t="s">
        <v>298</v>
      </c>
      <c r="B197" s="74" t="s">
        <v>283</v>
      </c>
      <c r="C197" s="74" t="s">
        <v>284</v>
      </c>
      <c r="D197" s="74" t="s">
        <v>285</v>
      </c>
      <c r="E197" s="75" t="s">
        <v>303</v>
      </c>
      <c r="F197" s="76">
        <v>41896</v>
      </c>
      <c r="G197" s="76" t="s">
        <v>310</v>
      </c>
      <c r="H197" s="76" t="s">
        <v>315</v>
      </c>
      <c r="I197" s="74">
        <v>300</v>
      </c>
      <c r="J197" s="74">
        <v>5457</v>
      </c>
      <c r="K197" s="74">
        <v>2541</v>
      </c>
      <c r="L197" s="74">
        <v>2916</v>
      </c>
    </row>
    <row r="198" spans="1:12" x14ac:dyDescent="0.35">
      <c r="A198" s="74" t="s">
        <v>289</v>
      </c>
      <c r="B198" s="74" t="s">
        <v>126</v>
      </c>
      <c r="C198" s="74" t="s">
        <v>290</v>
      </c>
      <c r="D198" s="74" t="s">
        <v>291</v>
      </c>
      <c r="E198" s="75" t="s">
        <v>303</v>
      </c>
      <c r="F198" s="76">
        <v>41897</v>
      </c>
      <c r="G198" s="76" t="s">
        <v>318</v>
      </c>
      <c r="H198" s="76" t="s">
        <v>323</v>
      </c>
      <c r="I198" s="74">
        <v>600</v>
      </c>
      <c r="J198" s="74">
        <v>12330</v>
      </c>
      <c r="K198" s="74">
        <v>5082</v>
      </c>
      <c r="L198" s="74">
        <v>7248</v>
      </c>
    </row>
    <row r="199" spans="1:12" x14ac:dyDescent="0.35">
      <c r="A199" s="74" t="s">
        <v>282</v>
      </c>
      <c r="B199" s="74" t="s">
        <v>126</v>
      </c>
      <c r="C199" s="74" t="s">
        <v>312</v>
      </c>
      <c r="D199" s="74" t="s">
        <v>313</v>
      </c>
      <c r="E199" s="75" t="s">
        <v>286</v>
      </c>
      <c r="F199" s="76">
        <v>41900</v>
      </c>
      <c r="G199" s="76" t="s">
        <v>287</v>
      </c>
      <c r="H199" s="76" t="s">
        <v>314</v>
      </c>
      <c r="I199" s="74">
        <v>500</v>
      </c>
      <c r="J199" s="74">
        <v>11845</v>
      </c>
      <c r="K199" s="74">
        <v>4920</v>
      </c>
      <c r="L199" s="74">
        <v>6925</v>
      </c>
    </row>
    <row r="200" spans="1:12" x14ac:dyDescent="0.35">
      <c r="A200" s="74" t="s">
        <v>289</v>
      </c>
      <c r="B200" s="74" t="s">
        <v>126</v>
      </c>
      <c r="C200" s="74" t="s">
        <v>290</v>
      </c>
      <c r="D200" s="74" t="s">
        <v>291</v>
      </c>
      <c r="E200" s="75" t="s">
        <v>286</v>
      </c>
      <c r="F200" s="76">
        <v>41901</v>
      </c>
      <c r="G200" s="76" t="s">
        <v>308</v>
      </c>
      <c r="H200" s="76" t="s">
        <v>333</v>
      </c>
      <c r="I200" s="74">
        <v>800</v>
      </c>
      <c r="J200" s="74">
        <v>16784</v>
      </c>
      <c r="K200" s="74">
        <v>7872</v>
      </c>
      <c r="L200" s="74">
        <v>8912</v>
      </c>
    </row>
    <row r="201" spans="1:12" x14ac:dyDescent="0.35">
      <c r="A201" s="74" t="s">
        <v>275</v>
      </c>
      <c r="B201" s="74" t="s">
        <v>276</v>
      </c>
      <c r="C201" s="74" t="s">
        <v>277</v>
      </c>
      <c r="D201" s="74" t="s">
        <v>278</v>
      </c>
      <c r="E201" s="75" t="s">
        <v>303</v>
      </c>
      <c r="F201" s="76">
        <v>41904</v>
      </c>
      <c r="G201" s="76" t="s">
        <v>318</v>
      </c>
      <c r="H201" s="76" t="s">
        <v>304</v>
      </c>
      <c r="I201" s="74">
        <v>1000</v>
      </c>
      <c r="J201" s="74">
        <v>17200</v>
      </c>
      <c r="K201" s="74">
        <v>8470</v>
      </c>
      <c r="L201" s="74">
        <v>8730</v>
      </c>
    </row>
    <row r="202" spans="1:12" x14ac:dyDescent="0.35">
      <c r="A202" s="74" t="s">
        <v>298</v>
      </c>
      <c r="B202" s="74" t="s">
        <v>283</v>
      </c>
      <c r="C202" s="74" t="s">
        <v>284</v>
      </c>
      <c r="D202" s="74" t="s">
        <v>285</v>
      </c>
      <c r="E202" s="75" t="s">
        <v>303</v>
      </c>
      <c r="F202" s="76">
        <v>41905</v>
      </c>
      <c r="G202" s="76" t="s">
        <v>301</v>
      </c>
      <c r="H202" s="76" t="s">
        <v>315</v>
      </c>
      <c r="I202" s="74">
        <v>600</v>
      </c>
      <c r="J202" s="74">
        <v>10602</v>
      </c>
      <c r="K202" s="74">
        <v>5082</v>
      </c>
      <c r="L202" s="74">
        <v>5520</v>
      </c>
    </row>
    <row r="203" spans="1:12" x14ac:dyDescent="0.35">
      <c r="A203" s="74" t="s">
        <v>282</v>
      </c>
      <c r="B203" s="74" t="s">
        <v>126</v>
      </c>
      <c r="C203" s="74" t="s">
        <v>312</v>
      </c>
      <c r="D203" s="74" t="s">
        <v>313</v>
      </c>
      <c r="E203" s="75" t="s">
        <v>303</v>
      </c>
      <c r="F203" s="76">
        <v>41907</v>
      </c>
      <c r="G203" s="76" t="s">
        <v>287</v>
      </c>
      <c r="H203" s="76" t="s">
        <v>314</v>
      </c>
      <c r="I203" s="74">
        <v>500</v>
      </c>
      <c r="J203" s="74">
        <v>9350</v>
      </c>
      <c r="K203" s="74">
        <v>4235</v>
      </c>
      <c r="L203" s="74">
        <v>5115</v>
      </c>
    </row>
    <row r="204" spans="1:12" x14ac:dyDescent="0.35">
      <c r="A204" s="74" t="s">
        <v>275</v>
      </c>
      <c r="B204" s="74" t="s">
        <v>276</v>
      </c>
      <c r="C204" s="74" t="s">
        <v>277</v>
      </c>
      <c r="D204" s="74" t="s">
        <v>278</v>
      </c>
      <c r="E204" s="75" t="s">
        <v>279</v>
      </c>
      <c r="F204" s="76">
        <v>41907</v>
      </c>
      <c r="G204" s="76" t="s">
        <v>287</v>
      </c>
      <c r="H204" s="76" t="s">
        <v>304</v>
      </c>
      <c r="I204" s="74">
        <v>100</v>
      </c>
      <c r="J204" s="74">
        <v>2095</v>
      </c>
      <c r="K204" s="74">
        <v>1022</v>
      </c>
      <c r="L204" s="74">
        <v>1073</v>
      </c>
    </row>
    <row r="205" spans="1:12" x14ac:dyDescent="0.35">
      <c r="A205" s="74" t="s">
        <v>275</v>
      </c>
      <c r="B205" s="74" t="s">
        <v>276</v>
      </c>
      <c r="C205" s="74" t="s">
        <v>277</v>
      </c>
      <c r="D205" s="74" t="s">
        <v>278</v>
      </c>
      <c r="E205" s="75" t="s">
        <v>286</v>
      </c>
      <c r="F205" s="76">
        <v>41908</v>
      </c>
      <c r="G205" s="76" t="s">
        <v>308</v>
      </c>
      <c r="H205" s="76" t="s">
        <v>304</v>
      </c>
      <c r="I205" s="74">
        <v>600</v>
      </c>
      <c r="J205" s="74">
        <v>13728</v>
      </c>
      <c r="K205" s="74">
        <v>5904</v>
      </c>
      <c r="L205" s="74">
        <v>7824</v>
      </c>
    </row>
    <row r="206" spans="1:12" x14ac:dyDescent="0.35">
      <c r="A206" s="74" t="s">
        <v>275</v>
      </c>
      <c r="B206" s="74" t="s">
        <v>283</v>
      </c>
      <c r="C206" s="74" t="s">
        <v>284</v>
      </c>
      <c r="D206" s="74" t="s">
        <v>285</v>
      </c>
      <c r="E206" s="75" t="s">
        <v>286</v>
      </c>
      <c r="F206" s="76">
        <v>41909</v>
      </c>
      <c r="G206" s="76" t="s">
        <v>292</v>
      </c>
      <c r="H206" s="76" t="s">
        <v>319</v>
      </c>
      <c r="I206" s="74">
        <v>900</v>
      </c>
      <c r="J206" s="74">
        <v>17712</v>
      </c>
      <c r="K206" s="74">
        <v>7623</v>
      </c>
      <c r="L206" s="74">
        <v>10089</v>
      </c>
    </row>
    <row r="207" spans="1:12" x14ac:dyDescent="0.35">
      <c r="A207" s="74" t="s">
        <v>305</v>
      </c>
      <c r="B207" s="74" t="s">
        <v>126</v>
      </c>
      <c r="C207" s="74" t="s">
        <v>306</v>
      </c>
      <c r="D207" s="74" t="s">
        <v>307</v>
      </c>
      <c r="E207" s="75" t="s">
        <v>286</v>
      </c>
      <c r="F207" s="76">
        <v>41909</v>
      </c>
      <c r="G207" s="76" t="s">
        <v>292</v>
      </c>
      <c r="H207" s="76" t="s">
        <v>309</v>
      </c>
      <c r="I207" s="74">
        <v>1000</v>
      </c>
      <c r="J207" s="74">
        <v>23080</v>
      </c>
      <c r="K207" s="74">
        <v>9840</v>
      </c>
      <c r="L207" s="74">
        <v>13240</v>
      </c>
    </row>
    <row r="208" spans="1:12" x14ac:dyDescent="0.35">
      <c r="A208" s="74" t="s">
        <v>305</v>
      </c>
      <c r="B208" s="74" t="s">
        <v>126</v>
      </c>
      <c r="C208" s="74" t="s">
        <v>306</v>
      </c>
      <c r="D208" s="74" t="s">
        <v>307</v>
      </c>
      <c r="E208" s="75" t="s">
        <v>303</v>
      </c>
      <c r="F208" s="76">
        <v>41910</v>
      </c>
      <c r="G208" s="76" t="s">
        <v>310</v>
      </c>
      <c r="H208" s="76" t="s">
        <v>309</v>
      </c>
      <c r="I208" s="74">
        <v>800</v>
      </c>
      <c r="J208" s="74">
        <v>13552</v>
      </c>
      <c r="K208" s="74">
        <v>6776</v>
      </c>
      <c r="L208" s="74">
        <v>6776</v>
      </c>
    </row>
    <row r="209" spans="1:12" x14ac:dyDescent="0.35">
      <c r="A209" s="74" t="s">
        <v>275</v>
      </c>
      <c r="B209" s="74" t="s">
        <v>276</v>
      </c>
      <c r="C209" s="74" t="s">
        <v>277</v>
      </c>
      <c r="D209" s="74" t="s">
        <v>278</v>
      </c>
      <c r="E209" s="75" t="s">
        <v>279</v>
      </c>
      <c r="F209" s="76">
        <v>41911</v>
      </c>
      <c r="G209" s="76" t="s">
        <v>318</v>
      </c>
      <c r="H209" s="76" t="s">
        <v>304</v>
      </c>
      <c r="I209" s="74">
        <v>600</v>
      </c>
      <c r="J209" s="74">
        <v>12480</v>
      </c>
      <c r="K209" s="74">
        <v>6132</v>
      </c>
      <c r="L209" s="74">
        <v>6348</v>
      </c>
    </row>
    <row r="210" spans="1:12" x14ac:dyDescent="0.35">
      <c r="A210" s="74" t="s">
        <v>298</v>
      </c>
      <c r="B210" s="74" t="s">
        <v>283</v>
      </c>
      <c r="C210" s="74" t="s">
        <v>284</v>
      </c>
      <c r="D210" s="74" t="s">
        <v>285</v>
      </c>
      <c r="E210" s="75" t="s">
        <v>303</v>
      </c>
      <c r="F210" s="76">
        <v>41912</v>
      </c>
      <c r="G210" s="76" t="s">
        <v>301</v>
      </c>
      <c r="H210" s="76" t="s">
        <v>315</v>
      </c>
      <c r="I210" s="74">
        <v>900</v>
      </c>
      <c r="J210" s="74">
        <v>15759</v>
      </c>
      <c r="K210" s="74">
        <v>7623</v>
      </c>
      <c r="L210" s="74">
        <v>8136</v>
      </c>
    </row>
    <row r="211" spans="1:12" x14ac:dyDescent="0.35">
      <c r="A211" s="74" t="s">
        <v>275</v>
      </c>
      <c r="B211" s="74" t="s">
        <v>283</v>
      </c>
      <c r="C211" s="74" t="s">
        <v>284</v>
      </c>
      <c r="D211" s="74" t="s">
        <v>285</v>
      </c>
      <c r="E211" s="75" t="s">
        <v>286</v>
      </c>
      <c r="F211" s="76">
        <v>41914</v>
      </c>
      <c r="G211" s="76" t="s">
        <v>287</v>
      </c>
      <c r="H211" s="76" t="s">
        <v>319</v>
      </c>
      <c r="I211" s="74">
        <v>200</v>
      </c>
      <c r="J211" s="74">
        <v>4866</v>
      </c>
      <c r="K211" s="74">
        <v>1968</v>
      </c>
      <c r="L211" s="74">
        <v>2898</v>
      </c>
    </row>
    <row r="212" spans="1:12" x14ac:dyDescent="0.35">
      <c r="A212" s="74" t="s">
        <v>275</v>
      </c>
      <c r="B212" s="74" t="s">
        <v>276</v>
      </c>
      <c r="C212" s="74" t="s">
        <v>277</v>
      </c>
      <c r="D212" s="74" t="s">
        <v>278</v>
      </c>
      <c r="E212" s="75" t="s">
        <v>303</v>
      </c>
      <c r="F212" s="76">
        <v>41915</v>
      </c>
      <c r="G212" s="76" t="s">
        <v>308</v>
      </c>
      <c r="H212" s="76" t="s">
        <v>281</v>
      </c>
      <c r="I212" s="74">
        <v>100</v>
      </c>
      <c r="J212" s="74">
        <v>1877</v>
      </c>
      <c r="K212" s="74">
        <v>847</v>
      </c>
      <c r="L212" s="74">
        <v>1030</v>
      </c>
    </row>
    <row r="213" spans="1:12" x14ac:dyDescent="0.35">
      <c r="A213" s="74" t="s">
        <v>289</v>
      </c>
      <c r="B213" s="74" t="s">
        <v>126</v>
      </c>
      <c r="C213" s="74" t="s">
        <v>290</v>
      </c>
      <c r="D213" s="74" t="s">
        <v>291</v>
      </c>
      <c r="E213" s="75" t="s">
        <v>279</v>
      </c>
      <c r="F213" s="76">
        <v>41918</v>
      </c>
      <c r="G213" s="76" t="s">
        <v>318</v>
      </c>
      <c r="H213" s="76" t="s">
        <v>333</v>
      </c>
      <c r="I213" s="74">
        <v>800</v>
      </c>
      <c r="J213" s="74">
        <v>16936</v>
      </c>
      <c r="K213" s="74">
        <v>8176</v>
      </c>
      <c r="L213" s="74">
        <v>8760</v>
      </c>
    </row>
    <row r="214" spans="1:12" x14ac:dyDescent="0.35">
      <c r="A214" s="74" t="s">
        <v>305</v>
      </c>
      <c r="B214" s="74" t="s">
        <v>126</v>
      </c>
      <c r="C214" s="74" t="s">
        <v>306</v>
      </c>
      <c r="D214" s="74" t="s">
        <v>307</v>
      </c>
      <c r="E214" s="75" t="s">
        <v>279</v>
      </c>
      <c r="F214" s="76">
        <v>41919</v>
      </c>
      <c r="G214" s="76" t="s">
        <v>301</v>
      </c>
      <c r="H214" s="76" t="s">
        <v>309</v>
      </c>
      <c r="I214" s="74">
        <v>700</v>
      </c>
      <c r="J214" s="74">
        <v>15715</v>
      </c>
      <c r="K214" s="74">
        <v>7154</v>
      </c>
      <c r="L214" s="74">
        <v>8561</v>
      </c>
    </row>
    <row r="215" spans="1:12" x14ac:dyDescent="0.35">
      <c r="A215" s="74" t="s">
        <v>298</v>
      </c>
      <c r="B215" s="74" t="s">
        <v>283</v>
      </c>
      <c r="C215" s="74" t="s">
        <v>284</v>
      </c>
      <c r="D215" s="74" t="s">
        <v>285</v>
      </c>
      <c r="E215" s="75" t="s">
        <v>279</v>
      </c>
      <c r="F215" s="76">
        <v>41920</v>
      </c>
      <c r="G215" s="76" t="s">
        <v>280</v>
      </c>
      <c r="H215" s="76" t="s">
        <v>315</v>
      </c>
      <c r="I215" s="74">
        <v>800</v>
      </c>
      <c r="J215" s="74">
        <v>18208</v>
      </c>
      <c r="K215" s="74">
        <v>8176</v>
      </c>
      <c r="L215" s="74">
        <v>10032</v>
      </c>
    </row>
    <row r="216" spans="1:12" x14ac:dyDescent="0.35">
      <c r="A216" s="74" t="s">
        <v>294</v>
      </c>
      <c r="B216" s="74" t="s">
        <v>128</v>
      </c>
      <c r="C216" s="74" t="s">
        <v>299</v>
      </c>
      <c r="D216" s="74" t="s">
        <v>300</v>
      </c>
      <c r="E216" s="75" t="s">
        <v>286</v>
      </c>
      <c r="F216" s="76">
        <v>41920</v>
      </c>
      <c r="G216" s="76" t="s">
        <v>280</v>
      </c>
      <c r="H216" s="76" t="s">
        <v>332</v>
      </c>
      <c r="I216" s="74">
        <v>100</v>
      </c>
      <c r="J216" s="74">
        <v>2358</v>
      </c>
      <c r="K216" s="74">
        <v>984</v>
      </c>
      <c r="L216" s="74">
        <v>1374</v>
      </c>
    </row>
    <row r="217" spans="1:12" x14ac:dyDescent="0.35">
      <c r="A217" s="74" t="s">
        <v>275</v>
      </c>
      <c r="B217" s="74" t="s">
        <v>283</v>
      </c>
      <c r="C217" s="74" t="s">
        <v>284</v>
      </c>
      <c r="D217" s="74" t="s">
        <v>285</v>
      </c>
      <c r="E217" s="75" t="s">
        <v>279</v>
      </c>
      <c r="F217" s="76">
        <v>41922</v>
      </c>
      <c r="G217" s="76" t="s">
        <v>308</v>
      </c>
      <c r="H217" s="76" t="s">
        <v>311</v>
      </c>
      <c r="I217" s="74">
        <v>400</v>
      </c>
      <c r="J217" s="74">
        <v>8560</v>
      </c>
      <c r="K217" s="74">
        <v>4088</v>
      </c>
      <c r="L217" s="74">
        <v>4472</v>
      </c>
    </row>
    <row r="218" spans="1:12" x14ac:dyDescent="0.35">
      <c r="A218" s="74" t="s">
        <v>275</v>
      </c>
      <c r="B218" s="74" t="s">
        <v>283</v>
      </c>
      <c r="C218" s="74" t="s">
        <v>284</v>
      </c>
      <c r="D218" s="74" t="s">
        <v>285</v>
      </c>
      <c r="E218" s="75" t="s">
        <v>286</v>
      </c>
      <c r="F218" s="76">
        <v>41924</v>
      </c>
      <c r="G218" s="76" t="s">
        <v>310</v>
      </c>
      <c r="H218" s="76" t="s">
        <v>311</v>
      </c>
      <c r="I218" s="74">
        <v>1000</v>
      </c>
      <c r="J218" s="74">
        <v>20190</v>
      </c>
      <c r="K218" s="74">
        <v>9840</v>
      </c>
      <c r="L218" s="74">
        <v>10350</v>
      </c>
    </row>
    <row r="219" spans="1:12" x14ac:dyDescent="0.35">
      <c r="A219" s="74" t="s">
        <v>289</v>
      </c>
      <c r="B219" s="74" t="s">
        <v>128</v>
      </c>
      <c r="C219" s="74" t="s">
        <v>299</v>
      </c>
      <c r="D219" s="74" t="s">
        <v>300</v>
      </c>
      <c r="E219" s="75" t="s">
        <v>279</v>
      </c>
      <c r="F219" s="76">
        <v>41925</v>
      </c>
      <c r="G219" s="76" t="s">
        <v>318</v>
      </c>
      <c r="H219" s="76" t="s">
        <v>324</v>
      </c>
      <c r="I219" s="74">
        <v>300</v>
      </c>
      <c r="J219" s="74">
        <v>7032</v>
      </c>
      <c r="K219" s="74">
        <v>3066</v>
      </c>
      <c r="L219" s="74">
        <v>3966</v>
      </c>
    </row>
    <row r="220" spans="1:12" x14ac:dyDescent="0.35">
      <c r="A220" s="74" t="s">
        <v>298</v>
      </c>
      <c r="B220" s="74" t="s">
        <v>283</v>
      </c>
      <c r="C220" s="74" t="s">
        <v>284</v>
      </c>
      <c r="D220" s="74" t="s">
        <v>285</v>
      </c>
      <c r="E220" s="75" t="s">
        <v>279</v>
      </c>
      <c r="F220" s="76">
        <v>41927</v>
      </c>
      <c r="G220" s="76" t="s">
        <v>280</v>
      </c>
      <c r="H220" s="76" t="s">
        <v>315</v>
      </c>
      <c r="I220" s="74">
        <v>100</v>
      </c>
      <c r="J220" s="74">
        <v>2517</v>
      </c>
      <c r="K220" s="74">
        <v>1022</v>
      </c>
      <c r="L220" s="74">
        <v>1495</v>
      </c>
    </row>
    <row r="221" spans="1:12" x14ac:dyDescent="0.35">
      <c r="A221" s="74" t="s">
        <v>289</v>
      </c>
      <c r="B221" s="74" t="s">
        <v>126</v>
      </c>
      <c r="C221" s="74" t="s">
        <v>290</v>
      </c>
      <c r="D221" s="74" t="s">
        <v>291</v>
      </c>
      <c r="E221" s="75" t="s">
        <v>279</v>
      </c>
      <c r="F221" s="76">
        <v>41928</v>
      </c>
      <c r="G221" s="76" t="s">
        <v>287</v>
      </c>
      <c r="H221" s="76" t="s">
        <v>323</v>
      </c>
      <c r="I221" s="74">
        <v>500</v>
      </c>
      <c r="J221" s="74">
        <v>10550</v>
      </c>
      <c r="K221" s="74">
        <v>5110</v>
      </c>
      <c r="L221" s="74">
        <v>5440</v>
      </c>
    </row>
    <row r="222" spans="1:12" x14ac:dyDescent="0.35">
      <c r="A222" s="74" t="s">
        <v>298</v>
      </c>
      <c r="B222" s="74" t="s">
        <v>126</v>
      </c>
      <c r="C222" s="74" t="s">
        <v>329</v>
      </c>
      <c r="D222" s="74" t="s">
        <v>330</v>
      </c>
      <c r="E222" s="75" t="s">
        <v>303</v>
      </c>
      <c r="F222" s="76">
        <v>41928</v>
      </c>
      <c r="G222" s="76" t="s">
        <v>287</v>
      </c>
      <c r="H222" s="76" t="s">
        <v>331</v>
      </c>
      <c r="I222" s="74">
        <v>700</v>
      </c>
      <c r="J222" s="74">
        <v>14133</v>
      </c>
      <c r="K222" s="74">
        <v>5929</v>
      </c>
      <c r="L222" s="74">
        <v>8204</v>
      </c>
    </row>
    <row r="223" spans="1:12" x14ac:dyDescent="0.35">
      <c r="A223" s="74" t="s">
        <v>289</v>
      </c>
      <c r="B223" s="74" t="s">
        <v>126</v>
      </c>
      <c r="C223" s="74" t="s">
        <v>290</v>
      </c>
      <c r="D223" s="74" t="s">
        <v>291</v>
      </c>
      <c r="E223" s="75" t="s">
        <v>279</v>
      </c>
      <c r="F223" s="76">
        <v>41929</v>
      </c>
      <c r="G223" s="76" t="s">
        <v>308</v>
      </c>
      <c r="H223" s="76" t="s">
        <v>323</v>
      </c>
      <c r="I223" s="74">
        <v>300</v>
      </c>
      <c r="J223" s="74">
        <v>6495</v>
      </c>
      <c r="K223" s="74">
        <v>3066</v>
      </c>
      <c r="L223" s="74">
        <v>3429</v>
      </c>
    </row>
    <row r="224" spans="1:12" x14ac:dyDescent="0.35">
      <c r="A224" s="74" t="s">
        <v>298</v>
      </c>
      <c r="B224" s="74" t="s">
        <v>283</v>
      </c>
      <c r="C224" s="74" t="s">
        <v>284</v>
      </c>
      <c r="D224" s="74" t="s">
        <v>285</v>
      </c>
      <c r="E224" s="75" t="s">
        <v>303</v>
      </c>
      <c r="F224" s="76">
        <v>41930</v>
      </c>
      <c r="G224" s="76" t="s">
        <v>292</v>
      </c>
      <c r="H224" s="76" t="s">
        <v>315</v>
      </c>
      <c r="I224" s="74">
        <v>400</v>
      </c>
      <c r="J224" s="74">
        <v>7520</v>
      </c>
      <c r="K224" s="74">
        <v>3388</v>
      </c>
      <c r="L224" s="74">
        <v>4132</v>
      </c>
    </row>
    <row r="225" spans="1:12" x14ac:dyDescent="0.35">
      <c r="A225" s="74" t="s">
        <v>282</v>
      </c>
      <c r="B225" s="74" t="s">
        <v>126</v>
      </c>
      <c r="C225" s="74" t="s">
        <v>312</v>
      </c>
      <c r="D225" s="74" t="s">
        <v>313</v>
      </c>
      <c r="E225" s="75" t="s">
        <v>279</v>
      </c>
      <c r="F225" s="76">
        <v>41932</v>
      </c>
      <c r="G225" s="76" t="s">
        <v>318</v>
      </c>
      <c r="H225" s="76" t="s">
        <v>314</v>
      </c>
      <c r="I225" s="74">
        <v>900</v>
      </c>
      <c r="J225" s="74">
        <v>21834</v>
      </c>
      <c r="K225" s="74">
        <v>9198</v>
      </c>
      <c r="L225" s="74">
        <v>12636</v>
      </c>
    </row>
    <row r="226" spans="1:12" x14ac:dyDescent="0.35">
      <c r="A226" s="74" t="s">
        <v>298</v>
      </c>
      <c r="B226" s="74" t="s">
        <v>283</v>
      </c>
      <c r="C226" s="74" t="s">
        <v>284</v>
      </c>
      <c r="D226" s="74" t="s">
        <v>285</v>
      </c>
      <c r="E226" s="75" t="s">
        <v>303</v>
      </c>
      <c r="F226" s="76">
        <v>41932</v>
      </c>
      <c r="G226" s="76" t="s">
        <v>318</v>
      </c>
      <c r="H226" s="76" t="s">
        <v>315</v>
      </c>
      <c r="I226" s="74">
        <v>800</v>
      </c>
      <c r="J226" s="74">
        <v>14136</v>
      </c>
      <c r="K226" s="74">
        <v>6776</v>
      </c>
      <c r="L226" s="74">
        <v>7360</v>
      </c>
    </row>
    <row r="227" spans="1:12" x14ac:dyDescent="0.35">
      <c r="A227" s="74" t="s">
        <v>275</v>
      </c>
      <c r="B227" s="74" t="s">
        <v>276</v>
      </c>
      <c r="C227" s="74" t="s">
        <v>277</v>
      </c>
      <c r="D227" s="74" t="s">
        <v>278</v>
      </c>
      <c r="E227" s="75" t="s">
        <v>303</v>
      </c>
      <c r="F227" s="76">
        <v>41934</v>
      </c>
      <c r="G227" s="76" t="s">
        <v>280</v>
      </c>
      <c r="H227" s="76" t="s">
        <v>304</v>
      </c>
      <c r="I227" s="74">
        <v>800</v>
      </c>
      <c r="J227" s="74">
        <v>16008</v>
      </c>
      <c r="K227" s="74">
        <v>6776</v>
      </c>
      <c r="L227" s="74">
        <v>9232</v>
      </c>
    </row>
    <row r="228" spans="1:12" x14ac:dyDescent="0.35">
      <c r="A228" s="74" t="s">
        <v>305</v>
      </c>
      <c r="B228" s="74" t="s">
        <v>126</v>
      </c>
      <c r="C228" s="74" t="s">
        <v>312</v>
      </c>
      <c r="D228" s="74" t="s">
        <v>313</v>
      </c>
      <c r="E228" s="75" t="s">
        <v>286</v>
      </c>
      <c r="F228" s="76">
        <v>41934</v>
      </c>
      <c r="G228" s="76" t="s">
        <v>280</v>
      </c>
      <c r="H228" s="76" t="s">
        <v>340</v>
      </c>
      <c r="I228" s="74">
        <v>500</v>
      </c>
      <c r="J228" s="74">
        <v>11220</v>
      </c>
      <c r="K228" s="74">
        <v>4920</v>
      </c>
      <c r="L228" s="74">
        <v>6300</v>
      </c>
    </row>
    <row r="229" spans="1:12" x14ac:dyDescent="0.35">
      <c r="A229" s="74" t="s">
        <v>305</v>
      </c>
      <c r="B229" s="74" t="s">
        <v>126</v>
      </c>
      <c r="C229" s="74" t="s">
        <v>306</v>
      </c>
      <c r="D229" s="74" t="s">
        <v>307</v>
      </c>
      <c r="E229" s="75" t="s">
        <v>286</v>
      </c>
      <c r="F229" s="76">
        <v>41935</v>
      </c>
      <c r="G229" s="76" t="s">
        <v>287</v>
      </c>
      <c r="H229" s="76" t="s">
        <v>309</v>
      </c>
      <c r="I229" s="74">
        <v>1000</v>
      </c>
      <c r="J229" s="74">
        <v>23040</v>
      </c>
      <c r="K229" s="74">
        <v>9840</v>
      </c>
      <c r="L229" s="74">
        <v>13200</v>
      </c>
    </row>
    <row r="230" spans="1:12" x14ac:dyDescent="0.35">
      <c r="A230" s="74" t="s">
        <v>289</v>
      </c>
      <c r="B230" s="74" t="s">
        <v>126</v>
      </c>
      <c r="C230" s="74" t="s">
        <v>290</v>
      </c>
      <c r="D230" s="74" t="s">
        <v>291</v>
      </c>
      <c r="E230" s="75" t="s">
        <v>286</v>
      </c>
      <c r="F230" s="76">
        <v>41937</v>
      </c>
      <c r="G230" s="76" t="s">
        <v>292</v>
      </c>
      <c r="H230" s="76" t="s">
        <v>323</v>
      </c>
      <c r="I230" s="74">
        <v>500</v>
      </c>
      <c r="J230" s="74">
        <v>10955</v>
      </c>
      <c r="K230" s="74">
        <v>4920</v>
      </c>
      <c r="L230" s="74">
        <v>6035</v>
      </c>
    </row>
    <row r="231" spans="1:12" x14ac:dyDescent="0.35">
      <c r="A231" s="74" t="s">
        <v>289</v>
      </c>
      <c r="B231" s="74" t="s">
        <v>126</v>
      </c>
      <c r="C231" s="74" t="s">
        <v>290</v>
      </c>
      <c r="D231" s="74" t="s">
        <v>291</v>
      </c>
      <c r="E231" s="75" t="s">
        <v>279</v>
      </c>
      <c r="F231" s="76">
        <v>41937</v>
      </c>
      <c r="G231" s="76" t="s">
        <v>292</v>
      </c>
      <c r="H231" s="76" t="s">
        <v>323</v>
      </c>
      <c r="I231" s="74">
        <v>900</v>
      </c>
      <c r="J231" s="74">
        <v>21762</v>
      </c>
      <c r="K231" s="74">
        <v>9198</v>
      </c>
      <c r="L231" s="74">
        <v>12564</v>
      </c>
    </row>
    <row r="232" spans="1:12" x14ac:dyDescent="0.35">
      <c r="A232" s="74" t="s">
        <v>289</v>
      </c>
      <c r="B232" s="74" t="s">
        <v>126</v>
      </c>
      <c r="C232" s="74" t="s">
        <v>290</v>
      </c>
      <c r="D232" s="74" t="s">
        <v>291</v>
      </c>
      <c r="E232" s="75" t="s">
        <v>303</v>
      </c>
      <c r="F232" s="76">
        <v>41939</v>
      </c>
      <c r="G232" s="76" t="s">
        <v>318</v>
      </c>
      <c r="H232" s="76" t="s">
        <v>323</v>
      </c>
      <c r="I232" s="74">
        <v>800</v>
      </c>
      <c r="J232" s="74">
        <v>15976</v>
      </c>
      <c r="K232" s="74">
        <v>6776</v>
      </c>
      <c r="L232" s="74">
        <v>9200</v>
      </c>
    </row>
    <row r="233" spans="1:12" x14ac:dyDescent="0.35">
      <c r="A233" s="74" t="s">
        <v>298</v>
      </c>
      <c r="B233" s="74" t="s">
        <v>283</v>
      </c>
      <c r="C233" s="74" t="s">
        <v>284</v>
      </c>
      <c r="D233" s="74" t="s">
        <v>285</v>
      </c>
      <c r="E233" s="75" t="s">
        <v>286</v>
      </c>
      <c r="F233" s="76">
        <v>41942</v>
      </c>
      <c r="G233" s="76" t="s">
        <v>287</v>
      </c>
      <c r="H233" s="76" t="s">
        <v>315</v>
      </c>
      <c r="I233" s="74">
        <v>1000</v>
      </c>
      <c r="J233" s="74">
        <v>20540</v>
      </c>
      <c r="K233" s="74">
        <v>9840</v>
      </c>
      <c r="L233" s="74">
        <v>10700</v>
      </c>
    </row>
    <row r="234" spans="1:12" x14ac:dyDescent="0.35">
      <c r="A234" s="74" t="s">
        <v>275</v>
      </c>
      <c r="B234" s="74" t="s">
        <v>283</v>
      </c>
      <c r="C234" s="74" t="s">
        <v>284</v>
      </c>
      <c r="D234" s="74" t="s">
        <v>285</v>
      </c>
      <c r="E234" s="75" t="s">
        <v>286</v>
      </c>
      <c r="F234" s="76">
        <v>41943</v>
      </c>
      <c r="G234" s="76" t="s">
        <v>308</v>
      </c>
      <c r="H234" s="76" t="s">
        <v>319</v>
      </c>
      <c r="I234" s="74">
        <v>500</v>
      </c>
      <c r="J234" s="74">
        <v>9475</v>
      </c>
      <c r="K234" s="74">
        <v>4235</v>
      </c>
      <c r="L234" s="74">
        <v>5240</v>
      </c>
    </row>
    <row r="235" spans="1:12" x14ac:dyDescent="0.35">
      <c r="A235" s="74" t="s">
        <v>275</v>
      </c>
      <c r="B235" s="74" t="s">
        <v>276</v>
      </c>
      <c r="C235" s="74" t="s">
        <v>277</v>
      </c>
      <c r="D235" s="74" t="s">
        <v>278</v>
      </c>
      <c r="E235" s="75" t="s">
        <v>279</v>
      </c>
      <c r="F235" s="76">
        <v>41944</v>
      </c>
      <c r="G235" s="76" t="s">
        <v>292</v>
      </c>
      <c r="H235" s="76" t="s">
        <v>304</v>
      </c>
      <c r="I235" s="74">
        <v>100</v>
      </c>
      <c r="J235" s="74">
        <v>2343</v>
      </c>
      <c r="K235" s="74">
        <v>1022</v>
      </c>
      <c r="L235" s="74">
        <v>1321</v>
      </c>
    </row>
    <row r="236" spans="1:12" x14ac:dyDescent="0.35">
      <c r="A236" s="74" t="s">
        <v>275</v>
      </c>
      <c r="B236" s="74" t="s">
        <v>283</v>
      </c>
      <c r="C236" s="74" t="s">
        <v>284</v>
      </c>
      <c r="D236" s="74" t="s">
        <v>285</v>
      </c>
      <c r="E236" s="75" t="s">
        <v>279</v>
      </c>
      <c r="F236" s="76">
        <v>41947</v>
      </c>
      <c r="G236" s="76" t="s">
        <v>301</v>
      </c>
      <c r="H236" s="76" t="s">
        <v>319</v>
      </c>
      <c r="I236" s="74">
        <v>500</v>
      </c>
      <c r="J236" s="74">
        <v>10645</v>
      </c>
      <c r="K236" s="74">
        <v>5110</v>
      </c>
      <c r="L236" s="74">
        <v>5535</v>
      </c>
    </row>
    <row r="237" spans="1:12" x14ac:dyDescent="0.35">
      <c r="A237" s="74" t="s">
        <v>275</v>
      </c>
      <c r="B237" s="74" t="s">
        <v>283</v>
      </c>
      <c r="C237" s="74" t="s">
        <v>284</v>
      </c>
      <c r="D237" s="74" t="s">
        <v>285</v>
      </c>
      <c r="E237" s="75" t="s">
        <v>286</v>
      </c>
      <c r="F237" s="76">
        <v>41948</v>
      </c>
      <c r="G237" s="76" t="s">
        <v>280</v>
      </c>
      <c r="H237" s="76" t="s">
        <v>319</v>
      </c>
      <c r="I237" s="74">
        <v>400</v>
      </c>
      <c r="J237" s="74">
        <v>8468</v>
      </c>
      <c r="K237" s="74">
        <v>3388</v>
      </c>
      <c r="L237" s="74">
        <v>5080</v>
      </c>
    </row>
    <row r="238" spans="1:12" x14ac:dyDescent="0.35">
      <c r="A238" s="74" t="s">
        <v>298</v>
      </c>
      <c r="B238" s="74" t="s">
        <v>283</v>
      </c>
      <c r="C238" s="74" t="s">
        <v>284</v>
      </c>
      <c r="D238" s="74" t="s">
        <v>285</v>
      </c>
      <c r="E238" s="75" t="s">
        <v>303</v>
      </c>
      <c r="F238" s="76">
        <v>41951</v>
      </c>
      <c r="G238" s="76" t="s">
        <v>292</v>
      </c>
      <c r="H238" s="76" t="s">
        <v>315</v>
      </c>
      <c r="I238" s="74">
        <v>400</v>
      </c>
      <c r="J238" s="74">
        <v>8196</v>
      </c>
      <c r="K238" s="74">
        <v>3388</v>
      </c>
      <c r="L238" s="74">
        <v>4808</v>
      </c>
    </row>
    <row r="239" spans="1:12" x14ac:dyDescent="0.35">
      <c r="A239" s="74" t="s">
        <v>298</v>
      </c>
      <c r="B239" s="74" t="s">
        <v>283</v>
      </c>
      <c r="C239" s="74" t="s">
        <v>284</v>
      </c>
      <c r="D239" s="74" t="s">
        <v>285</v>
      </c>
      <c r="E239" s="75" t="s">
        <v>286</v>
      </c>
      <c r="F239" s="76">
        <v>41954</v>
      </c>
      <c r="G239" s="76" t="s">
        <v>301</v>
      </c>
      <c r="H239" s="76" t="s">
        <v>315</v>
      </c>
      <c r="I239" s="74">
        <v>500</v>
      </c>
      <c r="J239" s="74">
        <v>11295</v>
      </c>
      <c r="K239" s="74">
        <v>4920</v>
      </c>
      <c r="L239" s="74">
        <v>6375</v>
      </c>
    </row>
    <row r="240" spans="1:12" x14ac:dyDescent="0.35">
      <c r="A240" s="74" t="s">
        <v>282</v>
      </c>
      <c r="B240" s="74" t="s">
        <v>283</v>
      </c>
      <c r="C240" s="74" t="s">
        <v>284</v>
      </c>
      <c r="D240" s="74" t="s">
        <v>285</v>
      </c>
      <c r="E240" s="75" t="s">
        <v>279</v>
      </c>
      <c r="F240" s="76">
        <v>41956</v>
      </c>
      <c r="G240" s="76" t="s">
        <v>287</v>
      </c>
      <c r="H240" s="76" t="s">
        <v>288</v>
      </c>
      <c r="I240" s="74">
        <v>800</v>
      </c>
      <c r="J240" s="74">
        <v>19376</v>
      </c>
      <c r="K240" s="74">
        <v>8176</v>
      </c>
      <c r="L240" s="74">
        <v>11200</v>
      </c>
    </row>
    <row r="241" spans="1:12" x14ac:dyDescent="0.35">
      <c r="A241" s="74" t="s">
        <v>275</v>
      </c>
      <c r="B241" s="74" t="s">
        <v>283</v>
      </c>
      <c r="C241" s="74" t="s">
        <v>284</v>
      </c>
      <c r="D241" s="74" t="s">
        <v>285</v>
      </c>
      <c r="E241" s="75" t="s">
        <v>286</v>
      </c>
      <c r="F241" s="76">
        <v>41956</v>
      </c>
      <c r="G241" s="76" t="s">
        <v>287</v>
      </c>
      <c r="H241" s="76" t="s">
        <v>319</v>
      </c>
      <c r="I241" s="74">
        <v>600</v>
      </c>
      <c r="J241" s="74">
        <v>14466</v>
      </c>
      <c r="K241" s="74">
        <v>5904</v>
      </c>
      <c r="L241" s="74">
        <v>8562</v>
      </c>
    </row>
    <row r="242" spans="1:12" x14ac:dyDescent="0.35">
      <c r="A242" s="74" t="s">
        <v>282</v>
      </c>
      <c r="B242" s="74" t="s">
        <v>126</v>
      </c>
      <c r="C242" s="74" t="s">
        <v>312</v>
      </c>
      <c r="D242" s="74" t="s">
        <v>313</v>
      </c>
      <c r="E242" s="75" t="s">
        <v>303</v>
      </c>
      <c r="F242" s="76">
        <v>41958</v>
      </c>
      <c r="G242" s="76" t="s">
        <v>292</v>
      </c>
      <c r="H242" s="76" t="s">
        <v>314</v>
      </c>
      <c r="I242" s="74">
        <v>900</v>
      </c>
      <c r="J242" s="74">
        <v>15255</v>
      </c>
      <c r="K242" s="74">
        <v>7623</v>
      </c>
      <c r="L242" s="74">
        <v>7632</v>
      </c>
    </row>
    <row r="243" spans="1:12" x14ac:dyDescent="0.35">
      <c r="A243" s="74" t="s">
        <v>298</v>
      </c>
      <c r="B243" s="74" t="s">
        <v>126</v>
      </c>
      <c r="C243" s="74" t="s">
        <v>329</v>
      </c>
      <c r="D243" s="74" t="s">
        <v>330</v>
      </c>
      <c r="E243" s="75" t="s">
        <v>286</v>
      </c>
      <c r="F243" s="76">
        <v>41958</v>
      </c>
      <c r="G243" s="76" t="s">
        <v>292</v>
      </c>
      <c r="H243" s="76" t="s">
        <v>331</v>
      </c>
      <c r="I243" s="74">
        <v>900</v>
      </c>
      <c r="J243" s="74">
        <v>21033</v>
      </c>
      <c r="K243" s="74">
        <v>8856</v>
      </c>
      <c r="L243" s="74">
        <v>12177</v>
      </c>
    </row>
    <row r="244" spans="1:12" x14ac:dyDescent="0.35">
      <c r="A244" s="74" t="s">
        <v>305</v>
      </c>
      <c r="B244" s="74" t="s">
        <v>128</v>
      </c>
      <c r="C244" s="74" t="s">
        <v>342</v>
      </c>
      <c r="D244" s="74" t="s">
        <v>343</v>
      </c>
      <c r="E244" s="75" t="s">
        <v>303</v>
      </c>
      <c r="F244" s="76">
        <v>41959</v>
      </c>
      <c r="G244" s="76" t="s">
        <v>310</v>
      </c>
      <c r="H244" s="76" t="s">
        <v>344</v>
      </c>
      <c r="I244" s="74">
        <v>1000</v>
      </c>
      <c r="J244" s="74">
        <v>17250</v>
      </c>
      <c r="K244" s="74">
        <v>8470</v>
      </c>
      <c r="L244" s="74">
        <v>8780</v>
      </c>
    </row>
    <row r="245" spans="1:12" x14ac:dyDescent="0.35">
      <c r="A245" s="74" t="s">
        <v>275</v>
      </c>
      <c r="B245" s="74" t="s">
        <v>276</v>
      </c>
      <c r="C245" s="74" t="s">
        <v>277</v>
      </c>
      <c r="D245" s="74" t="s">
        <v>278</v>
      </c>
      <c r="E245" s="75" t="s">
        <v>286</v>
      </c>
      <c r="F245" s="76">
        <v>41960</v>
      </c>
      <c r="G245" s="76" t="s">
        <v>318</v>
      </c>
      <c r="H245" s="76" t="s">
        <v>304</v>
      </c>
      <c r="I245" s="74">
        <v>600</v>
      </c>
      <c r="J245" s="74">
        <v>13200</v>
      </c>
      <c r="K245" s="74">
        <v>5904</v>
      </c>
      <c r="L245" s="74">
        <v>7296</v>
      </c>
    </row>
    <row r="246" spans="1:12" x14ac:dyDescent="0.35">
      <c r="A246" s="74" t="s">
        <v>294</v>
      </c>
      <c r="B246" s="74" t="s">
        <v>283</v>
      </c>
      <c r="C246" s="74" t="s">
        <v>284</v>
      </c>
      <c r="D246" s="74" t="s">
        <v>285</v>
      </c>
      <c r="E246" s="75" t="s">
        <v>316</v>
      </c>
      <c r="F246" s="76">
        <v>41963</v>
      </c>
      <c r="G246" s="76" t="s">
        <v>287</v>
      </c>
      <c r="H246" s="76" t="s">
        <v>317</v>
      </c>
      <c r="I246" s="74">
        <v>1000</v>
      </c>
      <c r="J246" s="74">
        <v>24420</v>
      </c>
      <c r="K246" s="74">
        <v>10220</v>
      </c>
      <c r="L246" s="74">
        <v>14200</v>
      </c>
    </row>
    <row r="247" spans="1:12" x14ac:dyDescent="0.35">
      <c r="A247" s="74" t="s">
        <v>275</v>
      </c>
      <c r="B247" s="74" t="s">
        <v>283</v>
      </c>
      <c r="C247" s="74" t="s">
        <v>284</v>
      </c>
      <c r="D247" s="74" t="s">
        <v>285</v>
      </c>
      <c r="E247" s="75" t="s">
        <v>286</v>
      </c>
      <c r="F247" s="76">
        <v>41963</v>
      </c>
      <c r="G247" s="76" t="s">
        <v>287</v>
      </c>
      <c r="H247" s="76" t="s">
        <v>319</v>
      </c>
      <c r="I247" s="74">
        <v>200</v>
      </c>
      <c r="J247" s="74">
        <v>3672</v>
      </c>
      <c r="K247" s="74">
        <v>1694</v>
      </c>
      <c r="L247" s="74">
        <v>1978</v>
      </c>
    </row>
    <row r="248" spans="1:12" x14ac:dyDescent="0.35">
      <c r="A248" s="74" t="s">
        <v>298</v>
      </c>
      <c r="B248" s="74" t="s">
        <v>283</v>
      </c>
      <c r="C248" s="74" t="s">
        <v>284</v>
      </c>
      <c r="D248" s="74" t="s">
        <v>285</v>
      </c>
      <c r="E248" s="75" t="s">
        <v>286</v>
      </c>
      <c r="F248" s="76">
        <v>41964</v>
      </c>
      <c r="G248" s="76" t="s">
        <v>308</v>
      </c>
      <c r="H248" s="76" t="s">
        <v>315</v>
      </c>
      <c r="I248" s="74">
        <v>300</v>
      </c>
      <c r="J248" s="74">
        <v>7053</v>
      </c>
      <c r="K248" s="74">
        <v>2952</v>
      </c>
      <c r="L248" s="74">
        <v>4101</v>
      </c>
    </row>
    <row r="249" spans="1:12" x14ac:dyDescent="0.35">
      <c r="A249" s="74" t="s">
        <v>282</v>
      </c>
      <c r="B249" s="74" t="s">
        <v>283</v>
      </c>
      <c r="C249" s="74" t="s">
        <v>284</v>
      </c>
      <c r="D249" s="74" t="s">
        <v>285</v>
      </c>
      <c r="E249" s="75" t="s">
        <v>303</v>
      </c>
      <c r="F249" s="76">
        <v>41966</v>
      </c>
      <c r="G249" s="76" t="s">
        <v>310</v>
      </c>
      <c r="H249" s="76" t="s">
        <v>288</v>
      </c>
      <c r="I249" s="74">
        <v>900</v>
      </c>
      <c r="J249" s="74">
        <v>17136</v>
      </c>
      <c r="K249" s="74">
        <v>7623</v>
      </c>
      <c r="L249" s="74">
        <v>9513</v>
      </c>
    </row>
    <row r="250" spans="1:12" x14ac:dyDescent="0.35">
      <c r="A250" s="74" t="s">
        <v>298</v>
      </c>
      <c r="B250" s="74" t="s">
        <v>283</v>
      </c>
      <c r="C250" s="74" t="s">
        <v>284</v>
      </c>
      <c r="D250" s="74" t="s">
        <v>285</v>
      </c>
      <c r="E250" s="75" t="s">
        <v>286</v>
      </c>
      <c r="F250" s="76">
        <v>41966</v>
      </c>
      <c r="G250" s="76" t="s">
        <v>310</v>
      </c>
      <c r="H250" s="76" t="s">
        <v>315</v>
      </c>
      <c r="I250" s="74">
        <v>100</v>
      </c>
      <c r="J250" s="74">
        <v>2410</v>
      </c>
      <c r="K250" s="74">
        <v>984</v>
      </c>
      <c r="L250" s="74">
        <v>1426</v>
      </c>
    </row>
    <row r="251" spans="1:12" x14ac:dyDescent="0.35">
      <c r="A251" s="74" t="s">
        <v>282</v>
      </c>
      <c r="B251" s="74" t="s">
        <v>283</v>
      </c>
      <c r="C251" s="74" t="s">
        <v>284</v>
      </c>
      <c r="D251" s="74" t="s">
        <v>285</v>
      </c>
      <c r="E251" s="75" t="s">
        <v>286</v>
      </c>
      <c r="F251" s="76">
        <v>41967</v>
      </c>
      <c r="G251" s="76" t="s">
        <v>318</v>
      </c>
      <c r="H251" s="76" t="s">
        <v>288</v>
      </c>
      <c r="I251" s="74">
        <v>300</v>
      </c>
      <c r="J251" s="74">
        <v>6462</v>
      </c>
      <c r="K251" s="74">
        <v>2952</v>
      </c>
      <c r="L251" s="74">
        <v>3510</v>
      </c>
    </row>
    <row r="252" spans="1:12" x14ac:dyDescent="0.35">
      <c r="A252" s="74" t="s">
        <v>305</v>
      </c>
      <c r="B252" s="74" t="s">
        <v>276</v>
      </c>
      <c r="C252" s="74" t="s">
        <v>326</v>
      </c>
      <c r="D252" s="74" t="s">
        <v>327</v>
      </c>
      <c r="E252" s="75" t="s">
        <v>279</v>
      </c>
      <c r="F252" s="76">
        <v>41968</v>
      </c>
      <c r="G252" s="76" t="s">
        <v>301</v>
      </c>
      <c r="H252" s="76" t="s">
        <v>334</v>
      </c>
      <c r="I252" s="74">
        <v>100</v>
      </c>
      <c r="J252" s="74">
        <v>2538</v>
      </c>
      <c r="K252" s="74">
        <v>1022</v>
      </c>
      <c r="L252" s="74">
        <v>1516</v>
      </c>
    </row>
    <row r="253" spans="1:12" x14ac:dyDescent="0.35">
      <c r="A253" s="74" t="s">
        <v>275</v>
      </c>
      <c r="B253" s="74" t="s">
        <v>283</v>
      </c>
      <c r="C253" s="74" t="s">
        <v>284</v>
      </c>
      <c r="D253" s="74" t="s">
        <v>285</v>
      </c>
      <c r="E253" s="75" t="s">
        <v>286</v>
      </c>
      <c r="F253" s="76">
        <v>41971</v>
      </c>
      <c r="G253" s="76" t="s">
        <v>308</v>
      </c>
      <c r="H253" s="76" t="s">
        <v>319</v>
      </c>
      <c r="I253" s="74">
        <v>500</v>
      </c>
      <c r="J253" s="74">
        <v>9890</v>
      </c>
      <c r="K253" s="74">
        <v>4920</v>
      </c>
      <c r="L253" s="74">
        <v>4970</v>
      </c>
    </row>
    <row r="254" spans="1:12" x14ac:dyDescent="0.35">
      <c r="A254" s="74" t="s">
        <v>275</v>
      </c>
      <c r="B254" s="74" t="s">
        <v>276</v>
      </c>
      <c r="C254" s="74" t="s">
        <v>277</v>
      </c>
      <c r="D254" s="74" t="s">
        <v>278</v>
      </c>
      <c r="E254" s="75" t="s">
        <v>286</v>
      </c>
      <c r="F254" s="76">
        <v>41971</v>
      </c>
      <c r="G254" s="76" t="s">
        <v>308</v>
      </c>
      <c r="H254" s="76" t="s">
        <v>304</v>
      </c>
      <c r="I254" s="74">
        <v>100</v>
      </c>
      <c r="J254" s="74">
        <v>2004</v>
      </c>
      <c r="K254" s="74">
        <v>984</v>
      </c>
      <c r="L254" s="74">
        <v>1020</v>
      </c>
    </row>
    <row r="255" spans="1:12" x14ac:dyDescent="0.35">
      <c r="A255" s="74" t="s">
        <v>275</v>
      </c>
      <c r="B255" s="74" t="s">
        <v>283</v>
      </c>
      <c r="C255" s="74" t="s">
        <v>284</v>
      </c>
      <c r="D255" s="74" t="s">
        <v>285</v>
      </c>
      <c r="E255" s="75" t="s">
        <v>279</v>
      </c>
      <c r="F255" s="76">
        <v>41972</v>
      </c>
      <c r="G255" s="76" t="s">
        <v>292</v>
      </c>
      <c r="H255" s="76" t="s">
        <v>319</v>
      </c>
      <c r="I255" s="74">
        <v>300</v>
      </c>
      <c r="J255" s="74">
        <v>7569</v>
      </c>
      <c r="K255" s="74">
        <v>3066</v>
      </c>
      <c r="L255" s="74">
        <v>4503</v>
      </c>
    </row>
    <row r="256" spans="1:12" x14ac:dyDescent="0.35">
      <c r="A256" s="74" t="s">
        <v>282</v>
      </c>
      <c r="B256" s="74" t="s">
        <v>283</v>
      </c>
      <c r="C256" s="74" t="s">
        <v>284</v>
      </c>
      <c r="D256" s="74" t="s">
        <v>285</v>
      </c>
      <c r="E256" s="75" t="s">
        <v>303</v>
      </c>
      <c r="F256" s="76">
        <v>41973</v>
      </c>
      <c r="G256" s="76" t="s">
        <v>310</v>
      </c>
      <c r="H256" s="76" t="s">
        <v>288</v>
      </c>
      <c r="I256" s="74">
        <v>300</v>
      </c>
      <c r="J256" s="74">
        <v>5592</v>
      </c>
      <c r="K256" s="74">
        <v>2541</v>
      </c>
      <c r="L256" s="74">
        <v>3051</v>
      </c>
    </row>
    <row r="257" spans="1:12" x14ac:dyDescent="0.35">
      <c r="A257" s="74" t="s">
        <v>275</v>
      </c>
      <c r="B257" s="74" t="s">
        <v>283</v>
      </c>
      <c r="C257" s="74" t="s">
        <v>284</v>
      </c>
      <c r="D257" s="74" t="s">
        <v>285</v>
      </c>
      <c r="E257" s="75" t="s">
        <v>286</v>
      </c>
      <c r="F257" s="76">
        <v>41974</v>
      </c>
      <c r="G257" s="76" t="s">
        <v>318</v>
      </c>
      <c r="H257" s="76" t="s">
        <v>311</v>
      </c>
      <c r="I257" s="74">
        <v>200</v>
      </c>
      <c r="J257" s="74">
        <v>3942</v>
      </c>
      <c r="K257" s="74">
        <v>1968</v>
      </c>
      <c r="L257" s="74">
        <v>1974</v>
      </c>
    </row>
    <row r="258" spans="1:12" x14ac:dyDescent="0.35">
      <c r="A258" s="74" t="s">
        <v>275</v>
      </c>
      <c r="B258" s="74" t="s">
        <v>276</v>
      </c>
      <c r="C258" s="74" t="s">
        <v>320</v>
      </c>
      <c r="D258" s="74" t="s">
        <v>321</v>
      </c>
      <c r="E258" s="75" t="s">
        <v>286</v>
      </c>
      <c r="F258" s="76">
        <v>41975</v>
      </c>
      <c r="G258" s="76" t="s">
        <v>301</v>
      </c>
      <c r="H258" s="76" t="s">
        <v>345</v>
      </c>
      <c r="I258" s="74">
        <v>800</v>
      </c>
      <c r="J258" s="74">
        <v>19344</v>
      </c>
      <c r="K258" s="74">
        <v>7872</v>
      </c>
      <c r="L258" s="74">
        <v>11472</v>
      </c>
    </row>
    <row r="259" spans="1:12" x14ac:dyDescent="0.35">
      <c r="A259" s="74" t="s">
        <v>282</v>
      </c>
      <c r="B259" s="74" t="s">
        <v>126</v>
      </c>
      <c r="C259" s="74" t="s">
        <v>312</v>
      </c>
      <c r="D259" s="74" t="s">
        <v>313</v>
      </c>
      <c r="E259" s="75" t="s">
        <v>286</v>
      </c>
      <c r="F259" s="76">
        <v>41977</v>
      </c>
      <c r="G259" s="76" t="s">
        <v>287</v>
      </c>
      <c r="H259" s="76" t="s">
        <v>314</v>
      </c>
      <c r="I259" s="74">
        <v>900</v>
      </c>
      <c r="J259" s="74">
        <v>21546</v>
      </c>
      <c r="K259" s="74">
        <v>8856</v>
      </c>
      <c r="L259" s="74">
        <v>12690</v>
      </c>
    </row>
    <row r="260" spans="1:12" x14ac:dyDescent="0.35">
      <c r="A260" s="74" t="s">
        <v>275</v>
      </c>
      <c r="B260" s="74" t="s">
        <v>276</v>
      </c>
      <c r="C260" s="74" t="s">
        <v>320</v>
      </c>
      <c r="D260" s="74" t="s">
        <v>321</v>
      </c>
      <c r="E260" s="75" t="s">
        <v>286</v>
      </c>
      <c r="F260" s="76">
        <v>41978</v>
      </c>
      <c r="G260" s="76" t="s">
        <v>308</v>
      </c>
      <c r="H260" s="76" t="s">
        <v>345</v>
      </c>
      <c r="I260" s="74">
        <v>500</v>
      </c>
      <c r="J260" s="74">
        <v>10760</v>
      </c>
      <c r="K260" s="74">
        <v>4920</v>
      </c>
      <c r="L260" s="74">
        <v>5840</v>
      </c>
    </row>
    <row r="261" spans="1:12" x14ac:dyDescent="0.35">
      <c r="A261" s="74" t="s">
        <v>305</v>
      </c>
      <c r="B261" s="74" t="s">
        <v>126</v>
      </c>
      <c r="C261" s="74" t="s">
        <v>306</v>
      </c>
      <c r="D261" s="74" t="s">
        <v>307</v>
      </c>
      <c r="E261" s="75" t="s">
        <v>303</v>
      </c>
      <c r="F261" s="76">
        <v>41978</v>
      </c>
      <c r="G261" s="76" t="s">
        <v>308</v>
      </c>
      <c r="H261" s="76" t="s">
        <v>309</v>
      </c>
      <c r="I261" s="74">
        <v>900</v>
      </c>
      <c r="J261" s="74">
        <v>18243</v>
      </c>
      <c r="K261" s="74">
        <v>7623</v>
      </c>
      <c r="L261" s="74">
        <v>10620</v>
      </c>
    </row>
    <row r="262" spans="1:12" x14ac:dyDescent="0.35">
      <c r="A262" s="74" t="s">
        <v>275</v>
      </c>
      <c r="B262" s="74" t="s">
        <v>276</v>
      </c>
      <c r="C262" s="74" t="s">
        <v>277</v>
      </c>
      <c r="D262" s="74" t="s">
        <v>278</v>
      </c>
      <c r="E262" s="75" t="s">
        <v>303</v>
      </c>
      <c r="F262" s="76">
        <v>41979</v>
      </c>
      <c r="G262" s="76" t="s">
        <v>292</v>
      </c>
      <c r="H262" s="76" t="s">
        <v>281</v>
      </c>
      <c r="I262" s="74">
        <v>800</v>
      </c>
      <c r="J262" s="74">
        <v>16856</v>
      </c>
      <c r="K262" s="74">
        <v>6776</v>
      </c>
      <c r="L262" s="74">
        <v>10080</v>
      </c>
    </row>
    <row r="263" spans="1:12" x14ac:dyDescent="0.35">
      <c r="A263" s="74" t="s">
        <v>289</v>
      </c>
      <c r="B263" s="74" t="s">
        <v>126</v>
      </c>
      <c r="C263" s="74" t="s">
        <v>290</v>
      </c>
      <c r="D263" s="74" t="s">
        <v>291</v>
      </c>
      <c r="E263" s="75" t="s">
        <v>303</v>
      </c>
      <c r="F263" s="76">
        <v>41981</v>
      </c>
      <c r="G263" s="76" t="s">
        <v>318</v>
      </c>
      <c r="H263" s="76" t="s">
        <v>323</v>
      </c>
      <c r="I263" s="74">
        <v>700</v>
      </c>
      <c r="J263" s="74">
        <v>14105</v>
      </c>
      <c r="K263" s="74">
        <v>5929</v>
      </c>
      <c r="L263" s="74">
        <v>8176</v>
      </c>
    </row>
    <row r="264" spans="1:12" x14ac:dyDescent="0.35">
      <c r="A264" s="74" t="s">
        <v>275</v>
      </c>
      <c r="B264" s="74" t="s">
        <v>283</v>
      </c>
      <c r="C264" s="74" t="s">
        <v>284</v>
      </c>
      <c r="D264" s="74" t="s">
        <v>285</v>
      </c>
      <c r="E264" s="75" t="s">
        <v>303</v>
      </c>
      <c r="F264" s="76">
        <v>41981</v>
      </c>
      <c r="G264" s="76" t="s">
        <v>318</v>
      </c>
      <c r="H264" s="76" t="s">
        <v>311</v>
      </c>
      <c r="I264" s="74">
        <v>100</v>
      </c>
      <c r="J264" s="74">
        <v>2111</v>
      </c>
      <c r="K264" s="74">
        <v>847</v>
      </c>
      <c r="L264" s="74">
        <v>1264</v>
      </c>
    </row>
    <row r="265" spans="1:12" x14ac:dyDescent="0.35">
      <c r="A265" s="74" t="s">
        <v>325</v>
      </c>
      <c r="B265" s="74" t="s">
        <v>276</v>
      </c>
      <c r="C265" s="74" t="s">
        <v>326</v>
      </c>
      <c r="D265" s="74" t="s">
        <v>327</v>
      </c>
      <c r="E265" s="75" t="s">
        <v>279</v>
      </c>
      <c r="F265" s="76">
        <v>41982</v>
      </c>
      <c r="G265" s="76" t="s">
        <v>301</v>
      </c>
      <c r="H265" s="76" t="s">
        <v>328</v>
      </c>
      <c r="I265" s="74">
        <v>400</v>
      </c>
      <c r="J265" s="74">
        <v>9660</v>
      </c>
      <c r="K265" s="74">
        <v>4088</v>
      </c>
      <c r="L265" s="74">
        <v>5572</v>
      </c>
    </row>
    <row r="266" spans="1:12" x14ac:dyDescent="0.35">
      <c r="A266" s="74" t="s">
        <v>289</v>
      </c>
      <c r="B266" s="74" t="s">
        <v>126</v>
      </c>
      <c r="C266" s="74" t="s">
        <v>290</v>
      </c>
      <c r="D266" s="74" t="s">
        <v>291</v>
      </c>
      <c r="E266" s="75" t="s">
        <v>303</v>
      </c>
      <c r="F266" s="76">
        <v>41983</v>
      </c>
      <c r="G266" s="76" t="s">
        <v>280</v>
      </c>
      <c r="H266" s="76" t="s">
        <v>323</v>
      </c>
      <c r="I266" s="74">
        <v>100</v>
      </c>
      <c r="J266" s="74">
        <v>1878</v>
      </c>
      <c r="K266" s="74">
        <v>847</v>
      </c>
      <c r="L266" s="74">
        <v>1031</v>
      </c>
    </row>
    <row r="267" spans="1:12" x14ac:dyDescent="0.35">
      <c r="A267" s="74" t="s">
        <v>275</v>
      </c>
      <c r="B267" s="74" t="s">
        <v>283</v>
      </c>
      <c r="C267" s="74" t="s">
        <v>284</v>
      </c>
      <c r="D267" s="74" t="s">
        <v>285</v>
      </c>
      <c r="E267" s="75" t="s">
        <v>286</v>
      </c>
      <c r="F267" s="76">
        <v>41983</v>
      </c>
      <c r="G267" s="76" t="s">
        <v>280</v>
      </c>
      <c r="H267" s="76" t="s">
        <v>319</v>
      </c>
      <c r="I267" s="74">
        <v>600</v>
      </c>
      <c r="J267" s="74">
        <v>12888</v>
      </c>
      <c r="K267" s="74">
        <v>5904</v>
      </c>
      <c r="L267" s="74">
        <v>6984</v>
      </c>
    </row>
    <row r="268" spans="1:12" x14ac:dyDescent="0.35">
      <c r="A268" s="74" t="s">
        <v>275</v>
      </c>
      <c r="B268" s="74" t="s">
        <v>283</v>
      </c>
      <c r="C268" s="74" t="s">
        <v>284</v>
      </c>
      <c r="D268" s="74" t="s">
        <v>285</v>
      </c>
      <c r="E268" s="75" t="s">
        <v>303</v>
      </c>
      <c r="F268" s="76">
        <v>41985</v>
      </c>
      <c r="G268" s="76" t="s">
        <v>308</v>
      </c>
      <c r="H268" s="76" t="s">
        <v>311</v>
      </c>
      <c r="I268" s="74">
        <v>100</v>
      </c>
      <c r="J268" s="74">
        <v>2108</v>
      </c>
      <c r="K268" s="74">
        <v>847</v>
      </c>
      <c r="L268" s="74">
        <v>1261</v>
      </c>
    </row>
    <row r="269" spans="1:12" x14ac:dyDescent="0.35">
      <c r="A269" s="74" t="s">
        <v>289</v>
      </c>
      <c r="B269" s="74" t="s">
        <v>126</v>
      </c>
      <c r="C269" s="74" t="s">
        <v>290</v>
      </c>
      <c r="D269" s="74" t="s">
        <v>291</v>
      </c>
      <c r="E269" s="75" t="s">
        <v>303</v>
      </c>
      <c r="F269" s="76">
        <v>41987</v>
      </c>
      <c r="G269" s="76" t="s">
        <v>310</v>
      </c>
      <c r="H269" s="76" t="s">
        <v>323</v>
      </c>
      <c r="I269" s="74">
        <v>600</v>
      </c>
      <c r="J269" s="74">
        <v>11964</v>
      </c>
      <c r="K269" s="74">
        <v>5082</v>
      </c>
      <c r="L269" s="74">
        <v>6882</v>
      </c>
    </row>
    <row r="270" spans="1:12" x14ac:dyDescent="0.35">
      <c r="A270" s="74" t="s">
        <v>289</v>
      </c>
      <c r="B270" s="74" t="s">
        <v>126</v>
      </c>
      <c r="C270" s="74" t="s">
        <v>290</v>
      </c>
      <c r="D270" s="74" t="s">
        <v>291</v>
      </c>
      <c r="E270" s="75" t="s">
        <v>279</v>
      </c>
      <c r="F270" s="76">
        <v>41988</v>
      </c>
      <c r="G270" s="76" t="s">
        <v>318</v>
      </c>
      <c r="H270" s="76" t="s">
        <v>323</v>
      </c>
      <c r="I270" s="74">
        <v>900</v>
      </c>
      <c r="J270" s="74">
        <v>20664</v>
      </c>
      <c r="K270" s="74">
        <v>9198</v>
      </c>
      <c r="L270" s="74">
        <v>11466</v>
      </c>
    </row>
    <row r="271" spans="1:12" x14ac:dyDescent="0.35">
      <c r="A271" s="74" t="s">
        <v>275</v>
      </c>
      <c r="B271" s="74" t="s">
        <v>283</v>
      </c>
      <c r="C271" s="74" t="s">
        <v>284</v>
      </c>
      <c r="D271" s="74" t="s">
        <v>285</v>
      </c>
      <c r="E271" s="75" t="s">
        <v>279</v>
      </c>
      <c r="F271" s="76">
        <v>41988</v>
      </c>
      <c r="G271" s="76" t="s">
        <v>318</v>
      </c>
      <c r="H271" s="76" t="s">
        <v>311</v>
      </c>
      <c r="I271" s="74">
        <v>300</v>
      </c>
      <c r="J271" s="74">
        <v>6732</v>
      </c>
      <c r="K271" s="74">
        <v>3066</v>
      </c>
      <c r="L271" s="74">
        <v>3666</v>
      </c>
    </row>
    <row r="272" spans="1:12" x14ac:dyDescent="0.35">
      <c r="A272" s="74" t="s">
        <v>289</v>
      </c>
      <c r="B272" s="74" t="s">
        <v>126</v>
      </c>
      <c r="C272" s="74" t="s">
        <v>290</v>
      </c>
      <c r="D272" s="74" t="s">
        <v>291</v>
      </c>
      <c r="E272" s="75" t="s">
        <v>303</v>
      </c>
      <c r="F272" s="76">
        <v>41991</v>
      </c>
      <c r="G272" s="76" t="s">
        <v>287</v>
      </c>
      <c r="H272" s="76" t="s">
        <v>323</v>
      </c>
      <c r="I272" s="74">
        <v>900</v>
      </c>
      <c r="J272" s="74">
        <v>15651</v>
      </c>
      <c r="K272" s="74">
        <v>7623</v>
      </c>
      <c r="L272" s="74">
        <v>8028</v>
      </c>
    </row>
    <row r="273" spans="1:12" x14ac:dyDescent="0.35">
      <c r="A273" s="74" t="s">
        <v>298</v>
      </c>
      <c r="B273" s="74" t="s">
        <v>126</v>
      </c>
      <c r="C273" s="74" t="s">
        <v>329</v>
      </c>
      <c r="D273" s="74" t="s">
        <v>330</v>
      </c>
      <c r="E273" s="75" t="s">
        <v>303</v>
      </c>
      <c r="F273" s="76">
        <v>41992</v>
      </c>
      <c r="G273" s="76" t="s">
        <v>308</v>
      </c>
      <c r="H273" s="76" t="s">
        <v>331</v>
      </c>
      <c r="I273" s="74">
        <v>600</v>
      </c>
      <c r="J273" s="74">
        <v>11274</v>
      </c>
      <c r="K273" s="74">
        <v>5082</v>
      </c>
      <c r="L273" s="74">
        <v>6192</v>
      </c>
    </row>
    <row r="274" spans="1:12" x14ac:dyDescent="0.35">
      <c r="A274" s="74" t="s">
        <v>275</v>
      </c>
      <c r="B274" s="74" t="s">
        <v>276</v>
      </c>
      <c r="C274" s="74" t="s">
        <v>277</v>
      </c>
      <c r="D274" s="74" t="s">
        <v>278</v>
      </c>
      <c r="E274" s="75" t="s">
        <v>303</v>
      </c>
      <c r="F274" s="76">
        <v>41993</v>
      </c>
      <c r="G274" s="76" t="s">
        <v>292</v>
      </c>
      <c r="H274" s="76" t="s">
        <v>281</v>
      </c>
      <c r="I274" s="74">
        <v>800</v>
      </c>
      <c r="J274" s="74">
        <v>14408</v>
      </c>
      <c r="K274" s="74">
        <v>6776</v>
      </c>
      <c r="L274" s="74">
        <v>7632</v>
      </c>
    </row>
    <row r="275" spans="1:12" x14ac:dyDescent="0.35">
      <c r="A275" s="74" t="s">
        <v>275</v>
      </c>
      <c r="B275" s="74" t="s">
        <v>283</v>
      </c>
      <c r="C275" s="74" t="s">
        <v>284</v>
      </c>
      <c r="D275" s="74" t="s">
        <v>285</v>
      </c>
      <c r="E275" s="75" t="s">
        <v>279</v>
      </c>
      <c r="F275" s="76">
        <v>41994</v>
      </c>
      <c r="G275" s="76" t="s">
        <v>310</v>
      </c>
      <c r="H275" s="76" t="s">
        <v>311</v>
      </c>
      <c r="I275" s="74">
        <v>100</v>
      </c>
      <c r="J275" s="74">
        <v>2213</v>
      </c>
      <c r="K275" s="74">
        <v>1022</v>
      </c>
      <c r="L275" s="74">
        <v>1191</v>
      </c>
    </row>
    <row r="276" spans="1:12" x14ac:dyDescent="0.35">
      <c r="A276" s="74" t="s">
        <v>275</v>
      </c>
      <c r="B276" s="74" t="s">
        <v>283</v>
      </c>
      <c r="C276" s="74" t="s">
        <v>284</v>
      </c>
      <c r="D276" s="74" t="s">
        <v>285</v>
      </c>
      <c r="E276" s="75" t="s">
        <v>303</v>
      </c>
      <c r="F276" s="76">
        <v>41995</v>
      </c>
      <c r="G276" s="76" t="s">
        <v>318</v>
      </c>
      <c r="H276" s="76" t="s">
        <v>311</v>
      </c>
      <c r="I276" s="74">
        <v>500</v>
      </c>
      <c r="J276" s="74">
        <v>8725</v>
      </c>
      <c r="K276" s="74">
        <v>4235</v>
      </c>
      <c r="L276" s="74">
        <v>4490</v>
      </c>
    </row>
    <row r="277" spans="1:12" x14ac:dyDescent="0.35">
      <c r="A277" s="74" t="s">
        <v>282</v>
      </c>
      <c r="B277" s="74" t="s">
        <v>283</v>
      </c>
      <c r="C277" s="74" t="s">
        <v>284</v>
      </c>
      <c r="D277" s="74" t="s">
        <v>285</v>
      </c>
      <c r="E277" s="75" t="s">
        <v>279</v>
      </c>
      <c r="F277" s="76">
        <v>41997</v>
      </c>
      <c r="G277" s="76" t="s">
        <v>280</v>
      </c>
      <c r="H277" s="76" t="s">
        <v>288</v>
      </c>
      <c r="I277" s="74">
        <v>900</v>
      </c>
      <c r="J277" s="74">
        <v>18666</v>
      </c>
      <c r="K277" s="74">
        <v>9198</v>
      </c>
      <c r="L277" s="74">
        <v>9468</v>
      </c>
    </row>
    <row r="278" spans="1:12" x14ac:dyDescent="0.35">
      <c r="A278" s="74" t="s">
        <v>282</v>
      </c>
      <c r="B278" s="74" t="s">
        <v>283</v>
      </c>
      <c r="C278" s="74" t="s">
        <v>284</v>
      </c>
      <c r="D278" s="74" t="s">
        <v>285</v>
      </c>
      <c r="E278" s="75" t="s">
        <v>303</v>
      </c>
      <c r="F278" s="76">
        <v>41998</v>
      </c>
      <c r="G278" s="76" t="s">
        <v>287</v>
      </c>
      <c r="H278" s="76" t="s">
        <v>288</v>
      </c>
      <c r="I278" s="74">
        <v>100</v>
      </c>
      <c r="J278" s="74">
        <v>2055</v>
      </c>
      <c r="K278" s="74">
        <v>847</v>
      </c>
      <c r="L278" s="74">
        <v>1208</v>
      </c>
    </row>
    <row r="279" spans="1:12" x14ac:dyDescent="0.35">
      <c r="A279" s="74" t="s">
        <v>275</v>
      </c>
      <c r="B279" s="74" t="s">
        <v>283</v>
      </c>
      <c r="C279" s="74" t="s">
        <v>284</v>
      </c>
      <c r="D279" s="74" t="s">
        <v>285</v>
      </c>
      <c r="E279" s="75" t="s">
        <v>286</v>
      </c>
      <c r="F279" s="76">
        <v>41998</v>
      </c>
      <c r="G279" s="76" t="s">
        <v>287</v>
      </c>
      <c r="H279" s="76" t="s">
        <v>319</v>
      </c>
      <c r="I279" s="74">
        <v>500</v>
      </c>
      <c r="J279" s="74">
        <v>10475</v>
      </c>
      <c r="K279" s="74">
        <v>4920</v>
      </c>
      <c r="L279" s="74">
        <v>5555</v>
      </c>
    </row>
    <row r="280" spans="1:12" x14ac:dyDescent="0.35">
      <c r="A280" s="74" t="s">
        <v>289</v>
      </c>
      <c r="B280" s="74" t="s">
        <v>126</v>
      </c>
      <c r="C280" s="74" t="s">
        <v>290</v>
      </c>
      <c r="D280" s="74" t="s">
        <v>291</v>
      </c>
      <c r="E280" s="75" t="s">
        <v>279</v>
      </c>
      <c r="F280" s="76">
        <v>42000</v>
      </c>
      <c r="G280" s="76" t="s">
        <v>292</v>
      </c>
      <c r="H280" s="76" t="s">
        <v>323</v>
      </c>
      <c r="I280" s="74">
        <v>600</v>
      </c>
      <c r="J280" s="74">
        <v>14178</v>
      </c>
      <c r="K280" s="74">
        <v>6132</v>
      </c>
      <c r="L280" s="74">
        <v>8046</v>
      </c>
    </row>
    <row r="281" spans="1:12" x14ac:dyDescent="0.35">
      <c r="A281" s="74" t="s">
        <v>275</v>
      </c>
      <c r="B281" s="74" t="s">
        <v>283</v>
      </c>
      <c r="C281" s="74" t="s">
        <v>284</v>
      </c>
      <c r="D281" s="74" t="s">
        <v>285</v>
      </c>
      <c r="E281" s="75" t="s">
        <v>286</v>
      </c>
      <c r="F281" s="76">
        <v>42000</v>
      </c>
      <c r="G281" s="76" t="s">
        <v>292</v>
      </c>
      <c r="H281" s="76" t="s">
        <v>319</v>
      </c>
      <c r="I281" s="74">
        <v>100</v>
      </c>
      <c r="J281" s="74">
        <v>1861</v>
      </c>
      <c r="K281" s="74">
        <v>847</v>
      </c>
      <c r="L281" s="74">
        <v>1014</v>
      </c>
    </row>
    <row r="282" spans="1:12" x14ac:dyDescent="0.35">
      <c r="A282" s="74" t="s">
        <v>282</v>
      </c>
      <c r="B282" s="74" t="s">
        <v>126</v>
      </c>
      <c r="C282" s="74" t="s">
        <v>312</v>
      </c>
      <c r="D282" s="74" t="s">
        <v>313</v>
      </c>
      <c r="E282" s="75" t="s">
        <v>303</v>
      </c>
      <c r="F282" s="76">
        <v>42001</v>
      </c>
      <c r="G282" s="76" t="s">
        <v>310</v>
      </c>
      <c r="H282" s="76" t="s">
        <v>314</v>
      </c>
      <c r="I282" s="74">
        <v>500</v>
      </c>
      <c r="J282" s="74">
        <v>9460</v>
      </c>
      <c r="K282" s="74">
        <v>4235</v>
      </c>
      <c r="L282" s="74">
        <v>5225</v>
      </c>
    </row>
    <row r="283" spans="1:12" x14ac:dyDescent="0.35">
      <c r="A283" s="74" t="s">
        <v>275</v>
      </c>
      <c r="B283" s="74" t="s">
        <v>276</v>
      </c>
      <c r="C283" s="74" t="s">
        <v>277</v>
      </c>
      <c r="D283" s="74" t="s">
        <v>278</v>
      </c>
      <c r="E283" s="75" t="s">
        <v>303</v>
      </c>
      <c r="F283" s="76">
        <v>42002</v>
      </c>
      <c r="G283" s="76" t="s">
        <v>318</v>
      </c>
      <c r="H283" s="76" t="s">
        <v>304</v>
      </c>
      <c r="I283" s="74">
        <v>600</v>
      </c>
      <c r="J283" s="74">
        <v>10290</v>
      </c>
      <c r="K283" s="74">
        <v>5082</v>
      </c>
      <c r="L283" s="74">
        <v>5208</v>
      </c>
    </row>
    <row r="284" spans="1:12" x14ac:dyDescent="0.35">
      <c r="A284" s="74" t="s">
        <v>282</v>
      </c>
      <c r="B284" s="74" t="s">
        <v>283</v>
      </c>
      <c r="C284" s="74" t="s">
        <v>284</v>
      </c>
      <c r="D284" s="74" t="s">
        <v>285</v>
      </c>
      <c r="E284" s="75" t="s">
        <v>303</v>
      </c>
      <c r="F284" s="76">
        <v>42006</v>
      </c>
      <c r="G284" s="76" t="s">
        <v>308</v>
      </c>
      <c r="H284" s="76" t="s">
        <v>288</v>
      </c>
      <c r="I284" s="74">
        <v>500</v>
      </c>
      <c r="J284" s="74">
        <v>10245</v>
      </c>
      <c r="K284" s="74">
        <v>4235</v>
      </c>
      <c r="L284" s="74">
        <v>6010</v>
      </c>
    </row>
    <row r="285" spans="1:12" x14ac:dyDescent="0.35">
      <c r="A285" s="74" t="s">
        <v>275</v>
      </c>
      <c r="B285" s="74" t="s">
        <v>283</v>
      </c>
      <c r="C285" s="74" t="s">
        <v>284</v>
      </c>
      <c r="D285" s="74" t="s">
        <v>285</v>
      </c>
      <c r="E285" s="75" t="s">
        <v>279</v>
      </c>
      <c r="F285" s="76">
        <v>42007</v>
      </c>
      <c r="G285" s="76" t="s">
        <v>292</v>
      </c>
      <c r="H285" s="76" t="s">
        <v>319</v>
      </c>
      <c r="I285" s="74">
        <v>500</v>
      </c>
      <c r="J285" s="74">
        <v>11240</v>
      </c>
      <c r="K285" s="74">
        <v>5110</v>
      </c>
      <c r="L285" s="74">
        <v>6130</v>
      </c>
    </row>
    <row r="286" spans="1:12" x14ac:dyDescent="0.35">
      <c r="A286" s="74" t="s">
        <v>275</v>
      </c>
      <c r="B286" s="74" t="s">
        <v>283</v>
      </c>
      <c r="C286" s="74" t="s">
        <v>284</v>
      </c>
      <c r="D286" s="74" t="s">
        <v>285</v>
      </c>
      <c r="E286" s="75" t="s">
        <v>279</v>
      </c>
      <c r="F286" s="76">
        <v>42008</v>
      </c>
      <c r="G286" s="76" t="s">
        <v>310</v>
      </c>
      <c r="H286" s="76" t="s">
        <v>319</v>
      </c>
      <c r="I286" s="74">
        <v>400</v>
      </c>
      <c r="J286" s="74">
        <v>9204</v>
      </c>
      <c r="K286" s="74">
        <v>4088</v>
      </c>
      <c r="L286" s="74">
        <v>5116</v>
      </c>
    </row>
    <row r="287" spans="1:12" x14ac:dyDescent="0.35">
      <c r="A287" s="74" t="s">
        <v>275</v>
      </c>
      <c r="B287" s="74" t="s">
        <v>283</v>
      </c>
      <c r="C287" s="74" t="s">
        <v>284</v>
      </c>
      <c r="D287" s="74" t="s">
        <v>285</v>
      </c>
      <c r="E287" s="75" t="s">
        <v>303</v>
      </c>
      <c r="F287" s="76">
        <v>42009</v>
      </c>
      <c r="G287" s="76" t="s">
        <v>318</v>
      </c>
      <c r="H287" s="76" t="s">
        <v>311</v>
      </c>
      <c r="I287" s="74">
        <v>400</v>
      </c>
      <c r="J287" s="74">
        <v>6860</v>
      </c>
      <c r="K287" s="74">
        <v>3388</v>
      </c>
      <c r="L287" s="74">
        <v>3472</v>
      </c>
    </row>
    <row r="288" spans="1:12" x14ac:dyDescent="0.35">
      <c r="A288" s="74" t="s">
        <v>289</v>
      </c>
      <c r="B288" s="74" t="s">
        <v>126</v>
      </c>
      <c r="C288" s="74" t="s">
        <v>290</v>
      </c>
      <c r="D288" s="74" t="s">
        <v>291</v>
      </c>
      <c r="E288" s="75" t="s">
        <v>279</v>
      </c>
      <c r="F288" s="76">
        <v>42011</v>
      </c>
      <c r="G288" s="76" t="s">
        <v>280</v>
      </c>
      <c r="H288" s="76" t="s">
        <v>293</v>
      </c>
      <c r="I288" s="74">
        <v>600</v>
      </c>
      <c r="J288" s="74">
        <v>13806</v>
      </c>
      <c r="K288" s="74">
        <v>6132</v>
      </c>
      <c r="L288" s="74">
        <v>7674</v>
      </c>
    </row>
    <row r="289" spans="1:12" x14ac:dyDescent="0.35">
      <c r="A289" s="74" t="s">
        <v>275</v>
      </c>
      <c r="B289" s="74" t="s">
        <v>128</v>
      </c>
      <c r="C289" s="74" t="s">
        <v>299</v>
      </c>
      <c r="D289" s="74" t="s">
        <v>300</v>
      </c>
      <c r="E289" s="75" t="s">
        <v>279</v>
      </c>
      <c r="F289" s="76">
        <v>42013</v>
      </c>
      <c r="G289" s="76" t="s">
        <v>308</v>
      </c>
      <c r="H289" s="76" t="s">
        <v>335</v>
      </c>
      <c r="I289" s="74">
        <v>900</v>
      </c>
      <c r="J289" s="74">
        <v>21015</v>
      </c>
      <c r="K289" s="74">
        <v>9198</v>
      </c>
      <c r="L289" s="74">
        <v>11817</v>
      </c>
    </row>
    <row r="290" spans="1:12" x14ac:dyDescent="0.35">
      <c r="A290" s="74" t="s">
        <v>275</v>
      </c>
      <c r="B290" s="74" t="s">
        <v>283</v>
      </c>
      <c r="C290" s="74" t="s">
        <v>284</v>
      </c>
      <c r="D290" s="74" t="s">
        <v>285</v>
      </c>
      <c r="E290" s="75" t="s">
        <v>279</v>
      </c>
      <c r="F290" s="76">
        <v>42014</v>
      </c>
      <c r="G290" s="76" t="s">
        <v>292</v>
      </c>
      <c r="H290" s="76" t="s">
        <v>319</v>
      </c>
      <c r="I290" s="74">
        <v>900</v>
      </c>
      <c r="J290" s="74">
        <v>21465</v>
      </c>
      <c r="K290" s="74">
        <v>9198</v>
      </c>
      <c r="L290" s="74">
        <v>12267</v>
      </c>
    </row>
    <row r="291" spans="1:12" x14ac:dyDescent="0.35">
      <c r="A291" s="74" t="s">
        <v>275</v>
      </c>
      <c r="B291" s="74" t="s">
        <v>283</v>
      </c>
      <c r="C291" s="74" t="s">
        <v>284</v>
      </c>
      <c r="D291" s="74" t="s">
        <v>285</v>
      </c>
      <c r="E291" s="75" t="s">
        <v>279</v>
      </c>
      <c r="F291" s="76">
        <v>42016</v>
      </c>
      <c r="G291" s="76" t="s">
        <v>318</v>
      </c>
      <c r="H291" s="76" t="s">
        <v>319</v>
      </c>
      <c r="I291" s="74">
        <v>400</v>
      </c>
      <c r="J291" s="74">
        <v>9144</v>
      </c>
      <c r="K291" s="74">
        <v>4088</v>
      </c>
      <c r="L291" s="74">
        <v>5056</v>
      </c>
    </row>
    <row r="292" spans="1:12" x14ac:dyDescent="0.35">
      <c r="A292" s="74" t="s">
        <v>282</v>
      </c>
      <c r="B292" s="74" t="s">
        <v>126</v>
      </c>
      <c r="C292" s="74" t="s">
        <v>312</v>
      </c>
      <c r="D292" s="74" t="s">
        <v>313</v>
      </c>
      <c r="E292" s="75" t="s">
        <v>303</v>
      </c>
      <c r="F292" s="76">
        <v>42018</v>
      </c>
      <c r="G292" s="76" t="s">
        <v>280</v>
      </c>
      <c r="H292" s="76" t="s">
        <v>314</v>
      </c>
      <c r="I292" s="74">
        <v>100</v>
      </c>
      <c r="J292" s="74">
        <v>1740</v>
      </c>
      <c r="K292" s="74">
        <v>847</v>
      </c>
      <c r="L292" s="74">
        <v>893</v>
      </c>
    </row>
    <row r="293" spans="1:12" x14ac:dyDescent="0.35">
      <c r="A293" s="74" t="s">
        <v>305</v>
      </c>
      <c r="B293" s="74" t="s">
        <v>126</v>
      </c>
      <c r="C293" s="74" t="s">
        <v>306</v>
      </c>
      <c r="D293" s="74" t="s">
        <v>307</v>
      </c>
      <c r="E293" s="75" t="s">
        <v>303</v>
      </c>
      <c r="F293" s="76">
        <v>42018</v>
      </c>
      <c r="G293" s="76" t="s">
        <v>280</v>
      </c>
      <c r="H293" s="76" t="s">
        <v>309</v>
      </c>
      <c r="I293" s="74">
        <v>1000</v>
      </c>
      <c r="J293" s="74">
        <v>19110</v>
      </c>
      <c r="K293" s="74">
        <v>8470</v>
      </c>
      <c r="L293" s="74">
        <v>10640</v>
      </c>
    </row>
    <row r="294" spans="1:12" x14ac:dyDescent="0.35">
      <c r="A294" s="74" t="s">
        <v>305</v>
      </c>
      <c r="B294" s="74" t="s">
        <v>126</v>
      </c>
      <c r="C294" s="74" t="s">
        <v>306</v>
      </c>
      <c r="D294" s="74" t="s">
        <v>307</v>
      </c>
      <c r="E294" s="75" t="s">
        <v>279</v>
      </c>
      <c r="F294" s="76">
        <v>42020</v>
      </c>
      <c r="G294" s="76" t="s">
        <v>308</v>
      </c>
      <c r="H294" s="76" t="s">
        <v>309</v>
      </c>
      <c r="I294" s="74">
        <v>900</v>
      </c>
      <c r="J294" s="74">
        <v>21888</v>
      </c>
      <c r="K294" s="74">
        <v>9198</v>
      </c>
      <c r="L294" s="74">
        <v>12690</v>
      </c>
    </row>
    <row r="295" spans="1:12" x14ac:dyDescent="0.35">
      <c r="A295" s="74" t="s">
        <v>289</v>
      </c>
      <c r="B295" s="74" t="s">
        <v>126</v>
      </c>
      <c r="C295" s="74" t="s">
        <v>290</v>
      </c>
      <c r="D295" s="74" t="s">
        <v>291</v>
      </c>
      <c r="E295" s="75" t="s">
        <v>286</v>
      </c>
      <c r="F295" s="76">
        <v>42021</v>
      </c>
      <c r="G295" s="76" t="s">
        <v>292</v>
      </c>
      <c r="H295" s="76" t="s">
        <v>323</v>
      </c>
      <c r="I295" s="74">
        <v>300</v>
      </c>
      <c r="J295" s="74">
        <v>5961</v>
      </c>
      <c r="K295" s="74">
        <v>2952</v>
      </c>
      <c r="L295" s="74">
        <v>3009</v>
      </c>
    </row>
    <row r="296" spans="1:12" x14ac:dyDescent="0.35">
      <c r="A296" s="74" t="s">
        <v>298</v>
      </c>
      <c r="B296" s="74" t="s">
        <v>283</v>
      </c>
      <c r="C296" s="74" t="s">
        <v>284</v>
      </c>
      <c r="D296" s="74" t="s">
        <v>285</v>
      </c>
      <c r="E296" s="75" t="s">
        <v>303</v>
      </c>
      <c r="F296" s="76">
        <v>42024</v>
      </c>
      <c r="G296" s="76" t="s">
        <v>301</v>
      </c>
      <c r="H296" s="76" t="s">
        <v>315</v>
      </c>
      <c r="I296" s="74">
        <v>900</v>
      </c>
      <c r="J296" s="74">
        <v>17505</v>
      </c>
      <c r="K296" s="74">
        <v>7623</v>
      </c>
      <c r="L296" s="74">
        <v>9882</v>
      </c>
    </row>
    <row r="297" spans="1:12" x14ac:dyDescent="0.35">
      <c r="A297" s="74" t="s">
        <v>289</v>
      </c>
      <c r="B297" s="74" t="s">
        <v>126</v>
      </c>
      <c r="C297" s="74" t="s">
        <v>290</v>
      </c>
      <c r="D297" s="74" t="s">
        <v>291</v>
      </c>
      <c r="E297" s="75" t="s">
        <v>286</v>
      </c>
      <c r="F297" s="76">
        <v>42025</v>
      </c>
      <c r="G297" s="76" t="s">
        <v>280</v>
      </c>
      <c r="H297" s="76" t="s">
        <v>323</v>
      </c>
      <c r="I297" s="74">
        <v>300</v>
      </c>
      <c r="J297" s="74">
        <v>7032</v>
      </c>
      <c r="K297" s="74">
        <v>2952</v>
      </c>
      <c r="L297" s="74">
        <v>4080</v>
      </c>
    </row>
    <row r="298" spans="1:12" x14ac:dyDescent="0.35">
      <c r="A298" s="74" t="s">
        <v>289</v>
      </c>
      <c r="B298" s="74" t="s">
        <v>126</v>
      </c>
      <c r="C298" s="74" t="s">
        <v>290</v>
      </c>
      <c r="D298" s="74" t="s">
        <v>291</v>
      </c>
      <c r="E298" s="75" t="s">
        <v>286</v>
      </c>
      <c r="F298" s="76">
        <v>42026</v>
      </c>
      <c r="G298" s="76" t="s">
        <v>287</v>
      </c>
      <c r="H298" s="76" t="s">
        <v>323</v>
      </c>
      <c r="I298" s="74">
        <v>300</v>
      </c>
      <c r="J298" s="74">
        <v>6735</v>
      </c>
      <c r="K298" s="74">
        <v>2952</v>
      </c>
      <c r="L298" s="74">
        <v>3783</v>
      </c>
    </row>
    <row r="299" spans="1:12" x14ac:dyDescent="0.35">
      <c r="A299" s="74" t="s">
        <v>289</v>
      </c>
      <c r="B299" s="74" t="s">
        <v>126</v>
      </c>
      <c r="C299" s="74" t="s">
        <v>290</v>
      </c>
      <c r="D299" s="74" t="s">
        <v>291</v>
      </c>
      <c r="E299" s="75" t="s">
        <v>303</v>
      </c>
      <c r="F299" s="76">
        <v>42027</v>
      </c>
      <c r="G299" s="76" t="s">
        <v>308</v>
      </c>
      <c r="H299" s="76" t="s">
        <v>323</v>
      </c>
      <c r="I299" s="74">
        <v>400</v>
      </c>
      <c r="J299" s="74">
        <v>8164</v>
      </c>
      <c r="K299" s="74">
        <v>3388</v>
      </c>
      <c r="L299" s="74">
        <v>4776</v>
      </c>
    </row>
    <row r="300" spans="1:12" x14ac:dyDescent="0.35">
      <c r="A300" s="74" t="s">
        <v>305</v>
      </c>
      <c r="B300" s="74" t="s">
        <v>126</v>
      </c>
      <c r="C300" s="74" t="s">
        <v>306</v>
      </c>
      <c r="D300" s="74" t="s">
        <v>307</v>
      </c>
      <c r="E300" s="75" t="s">
        <v>303</v>
      </c>
      <c r="F300" s="76">
        <v>42028</v>
      </c>
      <c r="G300" s="76" t="s">
        <v>292</v>
      </c>
      <c r="H300" s="76" t="s">
        <v>309</v>
      </c>
      <c r="I300" s="74">
        <v>300</v>
      </c>
      <c r="J300" s="74">
        <v>6207</v>
      </c>
      <c r="K300" s="74">
        <v>2541</v>
      </c>
      <c r="L300" s="74">
        <v>3666</v>
      </c>
    </row>
    <row r="301" spans="1:12" x14ac:dyDescent="0.35">
      <c r="A301" s="74" t="s">
        <v>289</v>
      </c>
      <c r="B301" s="74" t="s">
        <v>126</v>
      </c>
      <c r="C301" s="74" t="s">
        <v>290</v>
      </c>
      <c r="D301" s="74" t="s">
        <v>291</v>
      </c>
      <c r="E301" s="75" t="s">
        <v>286</v>
      </c>
      <c r="F301" s="76">
        <v>42029</v>
      </c>
      <c r="G301" s="76" t="s">
        <v>310</v>
      </c>
      <c r="H301" s="76" t="s">
        <v>323</v>
      </c>
      <c r="I301" s="74">
        <v>300</v>
      </c>
      <c r="J301" s="74">
        <v>6240</v>
      </c>
      <c r="K301" s="74">
        <v>2952</v>
      </c>
      <c r="L301" s="74">
        <v>3288</v>
      </c>
    </row>
    <row r="302" spans="1:12" x14ac:dyDescent="0.35">
      <c r="A302" s="74" t="s">
        <v>275</v>
      </c>
      <c r="B302" s="74" t="s">
        <v>283</v>
      </c>
      <c r="C302" s="74" t="s">
        <v>284</v>
      </c>
      <c r="D302" s="74" t="s">
        <v>285</v>
      </c>
      <c r="E302" s="75" t="s">
        <v>286</v>
      </c>
      <c r="F302" s="76">
        <v>42031</v>
      </c>
      <c r="G302" s="76" t="s">
        <v>301</v>
      </c>
      <c r="H302" s="76" t="s">
        <v>319</v>
      </c>
      <c r="I302" s="74">
        <v>500</v>
      </c>
      <c r="J302" s="74">
        <v>10445</v>
      </c>
      <c r="K302" s="74">
        <v>4235</v>
      </c>
      <c r="L302" s="74">
        <v>6210</v>
      </c>
    </row>
    <row r="303" spans="1:12" x14ac:dyDescent="0.35">
      <c r="A303" s="74" t="s">
        <v>305</v>
      </c>
      <c r="B303" s="74" t="s">
        <v>126</v>
      </c>
      <c r="C303" s="74" t="s">
        <v>306</v>
      </c>
      <c r="D303" s="74" t="s">
        <v>307</v>
      </c>
      <c r="E303" s="75" t="s">
        <v>303</v>
      </c>
      <c r="F303" s="76">
        <v>42033</v>
      </c>
      <c r="G303" s="76" t="s">
        <v>287</v>
      </c>
      <c r="H303" s="76" t="s">
        <v>309</v>
      </c>
      <c r="I303" s="74">
        <v>800</v>
      </c>
      <c r="J303" s="74">
        <v>14224</v>
      </c>
      <c r="K303" s="74">
        <v>6776</v>
      </c>
      <c r="L303" s="74">
        <v>7448</v>
      </c>
    </row>
    <row r="304" spans="1:12" x14ac:dyDescent="0.35">
      <c r="A304" s="74" t="s">
        <v>282</v>
      </c>
      <c r="B304" s="74" t="s">
        <v>126</v>
      </c>
      <c r="C304" s="74" t="s">
        <v>312</v>
      </c>
      <c r="D304" s="74" t="s">
        <v>313</v>
      </c>
      <c r="E304" s="75" t="s">
        <v>279</v>
      </c>
      <c r="F304" s="76">
        <v>42034</v>
      </c>
      <c r="G304" s="76" t="s">
        <v>308</v>
      </c>
      <c r="H304" s="76" t="s">
        <v>314</v>
      </c>
      <c r="I304" s="74">
        <v>400</v>
      </c>
      <c r="J304" s="74">
        <v>10044</v>
      </c>
      <c r="K304" s="74">
        <v>4088</v>
      </c>
      <c r="L304" s="74">
        <v>5956</v>
      </c>
    </row>
    <row r="305" spans="1:12" x14ac:dyDescent="0.35">
      <c r="A305" s="74" t="s">
        <v>298</v>
      </c>
      <c r="B305" s="74" t="s">
        <v>283</v>
      </c>
      <c r="C305" s="74" t="s">
        <v>284</v>
      </c>
      <c r="D305" s="74" t="s">
        <v>285</v>
      </c>
      <c r="E305" s="75" t="s">
        <v>303</v>
      </c>
      <c r="F305" s="76">
        <v>42035</v>
      </c>
      <c r="G305" s="76" t="s">
        <v>292</v>
      </c>
      <c r="H305" s="76" t="s">
        <v>315</v>
      </c>
      <c r="I305" s="74">
        <v>1000</v>
      </c>
      <c r="J305" s="74">
        <v>19250</v>
      </c>
      <c r="K305" s="74">
        <v>8470</v>
      </c>
      <c r="L305" s="74">
        <v>10780</v>
      </c>
    </row>
    <row r="306" spans="1:12" x14ac:dyDescent="0.35">
      <c r="A306" s="74" t="s">
        <v>289</v>
      </c>
      <c r="B306" s="74" t="s">
        <v>126</v>
      </c>
      <c r="C306" s="74" t="s">
        <v>290</v>
      </c>
      <c r="D306" s="74" t="s">
        <v>291</v>
      </c>
      <c r="E306" s="75" t="s">
        <v>286</v>
      </c>
      <c r="F306" s="76">
        <v>42036</v>
      </c>
      <c r="G306" s="76" t="s">
        <v>310</v>
      </c>
      <c r="H306" s="76" t="s">
        <v>323</v>
      </c>
      <c r="I306" s="74">
        <v>200</v>
      </c>
      <c r="J306" s="74">
        <v>4740</v>
      </c>
      <c r="K306" s="74">
        <v>1968</v>
      </c>
      <c r="L306" s="74">
        <v>2772</v>
      </c>
    </row>
    <row r="307" spans="1:12" x14ac:dyDescent="0.35">
      <c r="A307" s="74" t="s">
        <v>275</v>
      </c>
      <c r="B307" s="74" t="s">
        <v>276</v>
      </c>
      <c r="C307" s="74" t="s">
        <v>277</v>
      </c>
      <c r="D307" s="74" t="s">
        <v>278</v>
      </c>
      <c r="E307" s="75" t="s">
        <v>286</v>
      </c>
      <c r="F307" s="76">
        <v>42036</v>
      </c>
      <c r="G307" s="76" t="s">
        <v>310</v>
      </c>
      <c r="H307" s="76" t="s">
        <v>304</v>
      </c>
      <c r="I307" s="74">
        <v>600</v>
      </c>
      <c r="J307" s="74">
        <v>12672</v>
      </c>
      <c r="K307" s="74">
        <v>5904</v>
      </c>
      <c r="L307" s="74">
        <v>6768</v>
      </c>
    </row>
    <row r="308" spans="1:12" x14ac:dyDescent="0.35">
      <c r="A308" s="74" t="s">
        <v>289</v>
      </c>
      <c r="B308" s="74" t="s">
        <v>126</v>
      </c>
      <c r="C308" s="74" t="s">
        <v>290</v>
      </c>
      <c r="D308" s="74" t="s">
        <v>291</v>
      </c>
      <c r="E308" s="75" t="s">
        <v>303</v>
      </c>
      <c r="F308" s="76">
        <v>42040</v>
      </c>
      <c r="G308" s="76" t="s">
        <v>287</v>
      </c>
      <c r="H308" s="76" t="s">
        <v>323</v>
      </c>
      <c r="I308" s="74">
        <v>700</v>
      </c>
      <c r="J308" s="74">
        <v>13314</v>
      </c>
      <c r="K308" s="74">
        <v>5929</v>
      </c>
      <c r="L308" s="74">
        <v>7385</v>
      </c>
    </row>
    <row r="309" spans="1:12" x14ac:dyDescent="0.35">
      <c r="A309" s="74" t="s">
        <v>275</v>
      </c>
      <c r="B309" s="74" t="s">
        <v>283</v>
      </c>
      <c r="C309" s="74" t="s">
        <v>284</v>
      </c>
      <c r="D309" s="74" t="s">
        <v>285</v>
      </c>
      <c r="E309" s="75" t="s">
        <v>286</v>
      </c>
      <c r="F309" s="76">
        <v>42041</v>
      </c>
      <c r="G309" s="76" t="s">
        <v>308</v>
      </c>
      <c r="H309" s="76" t="s">
        <v>319</v>
      </c>
      <c r="I309" s="74">
        <v>200</v>
      </c>
      <c r="J309" s="74">
        <v>4280</v>
      </c>
      <c r="K309" s="74">
        <v>1968</v>
      </c>
      <c r="L309" s="74">
        <v>2312</v>
      </c>
    </row>
    <row r="310" spans="1:12" x14ac:dyDescent="0.35">
      <c r="A310" s="74" t="s">
        <v>282</v>
      </c>
      <c r="B310" s="74" t="s">
        <v>283</v>
      </c>
      <c r="C310" s="74" t="s">
        <v>284</v>
      </c>
      <c r="D310" s="74" t="s">
        <v>285</v>
      </c>
      <c r="E310" s="75" t="s">
        <v>303</v>
      </c>
      <c r="F310" s="76">
        <v>42043</v>
      </c>
      <c r="G310" s="76" t="s">
        <v>310</v>
      </c>
      <c r="H310" s="76" t="s">
        <v>288</v>
      </c>
      <c r="I310" s="74">
        <v>300</v>
      </c>
      <c r="J310" s="74">
        <v>6045</v>
      </c>
      <c r="K310" s="74">
        <v>2541</v>
      </c>
      <c r="L310" s="74">
        <v>3504</v>
      </c>
    </row>
    <row r="311" spans="1:12" x14ac:dyDescent="0.35">
      <c r="A311" s="74" t="s">
        <v>305</v>
      </c>
      <c r="B311" s="74" t="s">
        <v>126</v>
      </c>
      <c r="C311" s="74" t="s">
        <v>306</v>
      </c>
      <c r="D311" s="74" t="s">
        <v>307</v>
      </c>
      <c r="E311" s="75" t="s">
        <v>303</v>
      </c>
      <c r="F311" s="76">
        <v>42044</v>
      </c>
      <c r="G311" s="76" t="s">
        <v>318</v>
      </c>
      <c r="H311" s="76" t="s">
        <v>309</v>
      </c>
      <c r="I311" s="74">
        <v>400</v>
      </c>
      <c r="J311" s="74">
        <v>7180</v>
      </c>
      <c r="K311" s="74">
        <v>3388</v>
      </c>
      <c r="L311" s="74">
        <v>3792</v>
      </c>
    </row>
    <row r="312" spans="1:12" x14ac:dyDescent="0.35">
      <c r="A312" s="74" t="s">
        <v>298</v>
      </c>
      <c r="B312" s="74" t="s">
        <v>283</v>
      </c>
      <c r="C312" s="74" t="s">
        <v>284</v>
      </c>
      <c r="D312" s="74" t="s">
        <v>285</v>
      </c>
      <c r="E312" s="75" t="s">
        <v>286</v>
      </c>
      <c r="F312" s="76">
        <v>42048</v>
      </c>
      <c r="G312" s="76" t="s">
        <v>308</v>
      </c>
      <c r="H312" s="76" t="s">
        <v>315</v>
      </c>
      <c r="I312" s="74">
        <v>600</v>
      </c>
      <c r="J312" s="74">
        <v>12798</v>
      </c>
      <c r="K312" s="74">
        <v>5904</v>
      </c>
      <c r="L312" s="74">
        <v>6894</v>
      </c>
    </row>
    <row r="313" spans="1:12" x14ac:dyDescent="0.35">
      <c r="A313" s="74" t="s">
        <v>305</v>
      </c>
      <c r="B313" s="74" t="s">
        <v>126</v>
      </c>
      <c r="C313" s="74" t="s">
        <v>306</v>
      </c>
      <c r="D313" s="74" t="s">
        <v>307</v>
      </c>
      <c r="E313" s="75" t="s">
        <v>303</v>
      </c>
      <c r="F313" s="76">
        <v>42050</v>
      </c>
      <c r="G313" s="76" t="s">
        <v>310</v>
      </c>
      <c r="H313" s="76" t="s">
        <v>309</v>
      </c>
      <c r="I313" s="74">
        <v>100</v>
      </c>
      <c r="J313" s="74">
        <v>2066</v>
      </c>
      <c r="K313" s="74">
        <v>847</v>
      </c>
      <c r="L313" s="74">
        <v>1219</v>
      </c>
    </row>
    <row r="314" spans="1:12" x14ac:dyDescent="0.35">
      <c r="A314" s="74" t="s">
        <v>275</v>
      </c>
      <c r="B314" s="74" t="s">
        <v>276</v>
      </c>
      <c r="C314" s="74" t="s">
        <v>277</v>
      </c>
      <c r="D314" s="74" t="s">
        <v>278</v>
      </c>
      <c r="E314" s="75" t="s">
        <v>286</v>
      </c>
      <c r="F314" s="76">
        <v>42051</v>
      </c>
      <c r="G314" s="76" t="s">
        <v>318</v>
      </c>
      <c r="H314" s="76" t="s">
        <v>281</v>
      </c>
      <c r="I314" s="74">
        <v>200</v>
      </c>
      <c r="J314" s="74">
        <v>4742</v>
      </c>
      <c r="K314" s="74">
        <v>1968</v>
      </c>
      <c r="L314" s="74">
        <v>2774</v>
      </c>
    </row>
    <row r="315" spans="1:12" x14ac:dyDescent="0.35">
      <c r="A315" s="74" t="s">
        <v>275</v>
      </c>
      <c r="B315" s="74" t="s">
        <v>276</v>
      </c>
      <c r="C315" s="74" t="s">
        <v>277</v>
      </c>
      <c r="D315" s="74" t="s">
        <v>278</v>
      </c>
      <c r="E315" s="75" t="s">
        <v>303</v>
      </c>
      <c r="F315" s="76">
        <v>42052</v>
      </c>
      <c r="G315" s="76" t="s">
        <v>301</v>
      </c>
      <c r="H315" s="76" t="s">
        <v>304</v>
      </c>
      <c r="I315" s="74">
        <v>200</v>
      </c>
      <c r="J315" s="74">
        <v>3876</v>
      </c>
      <c r="K315" s="74">
        <v>1694</v>
      </c>
      <c r="L315" s="74">
        <v>2182</v>
      </c>
    </row>
    <row r="316" spans="1:12" x14ac:dyDescent="0.35">
      <c r="A316" s="74" t="s">
        <v>275</v>
      </c>
      <c r="B316" s="74" t="s">
        <v>283</v>
      </c>
      <c r="C316" s="74" t="s">
        <v>284</v>
      </c>
      <c r="D316" s="74" t="s">
        <v>285</v>
      </c>
      <c r="E316" s="75" t="s">
        <v>286</v>
      </c>
      <c r="F316" s="76">
        <v>42054</v>
      </c>
      <c r="G316" s="76" t="s">
        <v>287</v>
      </c>
      <c r="H316" s="76" t="s">
        <v>311</v>
      </c>
      <c r="I316" s="74">
        <v>400</v>
      </c>
      <c r="J316" s="74">
        <v>9088</v>
      </c>
      <c r="K316" s="74">
        <v>3936</v>
      </c>
      <c r="L316" s="74">
        <v>5152</v>
      </c>
    </row>
    <row r="317" spans="1:12" x14ac:dyDescent="0.35">
      <c r="A317" s="74" t="s">
        <v>275</v>
      </c>
      <c r="B317" s="74" t="s">
        <v>276</v>
      </c>
      <c r="C317" s="74" t="s">
        <v>277</v>
      </c>
      <c r="D317" s="74" t="s">
        <v>278</v>
      </c>
      <c r="E317" s="75" t="s">
        <v>279</v>
      </c>
      <c r="F317" s="76">
        <v>42054</v>
      </c>
      <c r="G317" s="76" t="s">
        <v>287</v>
      </c>
      <c r="H317" s="76" t="s">
        <v>304</v>
      </c>
      <c r="I317" s="74">
        <v>1000</v>
      </c>
      <c r="J317" s="74">
        <v>25080</v>
      </c>
      <c r="K317" s="74">
        <v>10220</v>
      </c>
      <c r="L317" s="74">
        <v>14860</v>
      </c>
    </row>
    <row r="318" spans="1:12" x14ac:dyDescent="0.35">
      <c r="A318" s="74" t="s">
        <v>298</v>
      </c>
      <c r="B318" s="74" t="s">
        <v>126</v>
      </c>
      <c r="C318" s="74" t="s">
        <v>329</v>
      </c>
      <c r="D318" s="74" t="s">
        <v>330</v>
      </c>
      <c r="E318" s="75" t="s">
        <v>303</v>
      </c>
      <c r="F318" s="76">
        <v>42055</v>
      </c>
      <c r="G318" s="76" t="s">
        <v>308</v>
      </c>
      <c r="H318" s="76" t="s">
        <v>331</v>
      </c>
      <c r="I318" s="74">
        <v>400</v>
      </c>
      <c r="J318" s="74">
        <v>7152</v>
      </c>
      <c r="K318" s="74">
        <v>3388</v>
      </c>
      <c r="L318" s="74">
        <v>3764</v>
      </c>
    </row>
    <row r="319" spans="1:12" x14ac:dyDescent="0.35">
      <c r="A319" s="74" t="s">
        <v>275</v>
      </c>
      <c r="B319" s="74" t="s">
        <v>283</v>
      </c>
      <c r="C319" s="74" t="s">
        <v>284</v>
      </c>
      <c r="D319" s="74" t="s">
        <v>285</v>
      </c>
      <c r="E319" s="75" t="s">
        <v>286</v>
      </c>
      <c r="F319" s="76">
        <v>42055</v>
      </c>
      <c r="G319" s="76" t="s">
        <v>308</v>
      </c>
      <c r="H319" s="76" t="s">
        <v>319</v>
      </c>
      <c r="I319" s="74">
        <v>800</v>
      </c>
      <c r="J319" s="74">
        <v>18504</v>
      </c>
      <c r="K319" s="74">
        <v>7872</v>
      </c>
      <c r="L319" s="74">
        <v>10632</v>
      </c>
    </row>
    <row r="320" spans="1:12" x14ac:dyDescent="0.35">
      <c r="A320" s="74" t="s">
        <v>275</v>
      </c>
      <c r="B320" s="74" t="s">
        <v>276</v>
      </c>
      <c r="C320" s="74" t="s">
        <v>277</v>
      </c>
      <c r="D320" s="74" t="s">
        <v>278</v>
      </c>
      <c r="E320" s="75" t="s">
        <v>286</v>
      </c>
      <c r="F320" s="76">
        <v>42057</v>
      </c>
      <c r="G320" s="76" t="s">
        <v>310</v>
      </c>
      <c r="H320" s="76" t="s">
        <v>281</v>
      </c>
      <c r="I320" s="74">
        <v>600</v>
      </c>
      <c r="J320" s="74">
        <v>12282</v>
      </c>
      <c r="K320" s="74">
        <v>5904</v>
      </c>
      <c r="L320" s="74">
        <v>6378</v>
      </c>
    </row>
    <row r="321" spans="1:12" x14ac:dyDescent="0.35">
      <c r="A321" s="74" t="s">
        <v>275</v>
      </c>
      <c r="B321" s="74" t="s">
        <v>283</v>
      </c>
      <c r="C321" s="74" t="s">
        <v>284</v>
      </c>
      <c r="D321" s="74" t="s">
        <v>285</v>
      </c>
      <c r="E321" s="75" t="s">
        <v>279</v>
      </c>
      <c r="F321" s="76">
        <v>42059</v>
      </c>
      <c r="G321" s="76" t="s">
        <v>301</v>
      </c>
      <c r="H321" s="76" t="s">
        <v>319</v>
      </c>
      <c r="I321" s="74">
        <v>1000</v>
      </c>
      <c r="J321" s="74">
        <v>20940</v>
      </c>
      <c r="K321" s="74">
        <v>10220</v>
      </c>
      <c r="L321" s="74">
        <v>10720</v>
      </c>
    </row>
    <row r="322" spans="1:12" x14ac:dyDescent="0.35">
      <c r="A322" s="74" t="s">
        <v>275</v>
      </c>
      <c r="B322" s="74" t="s">
        <v>276</v>
      </c>
      <c r="C322" s="74" t="s">
        <v>277</v>
      </c>
      <c r="D322" s="74" t="s">
        <v>278</v>
      </c>
      <c r="E322" s="75" t="s">
        <v>303</v>
      </c>
      <c r="F322" s="76">
        <v>42061</v>
      </c>
      <c r="G322" s="76" t="s">
        <v>287</v>
      </c>
      <c r="H322" s="76" t="s">
        <v>304</v>
      </c>
      <c r="I322" s="74">
        <v>700</v>
      </c>
      <c r="J322" s="74">
        <v>12145</v>
      </c>
      <c r="K322" s="74">
        <v>5929</v>
      </c>
      <c r="L322" s="74">
        <v>6216</v>
      </c>
    </row>
    <row r="323" spans="1:12" x14ac:dyDescent="0.35">
      <c r="A323" s="74" t="s">
        <v>275</v>
      </c>
      <c r="B323" s="74" t="s">
        <v>276</v>
      </c>
      <c r="C323" s="74" t="s">
        <v>277</v>
      </c>
      <c r="D323" s="74" t="s">
        <v>278</v>
      </c>
      <c r="E323" s="75" t="s">
        <v>279</v>
      </c>
      <c r="F323" s="76">
        <v>42061</v>
      </c>
      <c r="G323" s="76" t="s">
        <v>287</v>
      </c>
      <c r="H323" s="76" t="s">
        <v>281</v>
      </c>
      <c r="I323" s="74">
        <v>1000</v>
      </c>
      <c r="J323" s="74">
        <v>22680</v>
      </c>
      <c r="K323" s="74">
        <v>10220</v>
      </c>
      <c r="L323" s="74">
        <v>12460</v>
      </c>
    </row>
    <row r="324" spans="1:12" x14ac:dyDescent="0.35">
      <c r="A324" s="74" t="s">
        <v>275</v>
      </c>
      <c r="B324" s="74" t="s">
        <v>283</v>
      </c>
      <c r="C324" s="74" t="s">
        <v>284</v>
      </c>
      <c r="D324" s="74" t="s">
        <v>285</v>
      </c>
      <c r="E324" s="75" t="s">
        <v>279</v>
      </c>
      <c r="F324" s="76">
        <v>42061</v>
      </c>
      <c r="G324" s="76" t="s">
        <v>287</v>
      </c>
      <c r="H324" s="76" t="s">
        <v>311</v>
      </c>
      <c r="I324" s="74">
        <v>700</v>
      </c>
      <c r="J324" s="74">
        <v>17367</v>
      </c>
      <c r="K324" s="74">
        <v>7154</v>
      </c>
      <c r="L324" s="74">
        <v>10213</v>
      </c>
    </row>
    <row r="325" spans="1:12" x14ac:dyDescent="0.35">
      <c r="A325" s="74" t="s">
        <v>282</v>
      </c>
      <c r="B325" s="74" t="s">
        <v>283</v>
      </c>
      <c r="C325" s="74" t="s">
        <v>284</v>
      </c>
      <c r="D325" s="74" t="s">
        <v>285</v>
      </c>
      <c r="E325" s="75" t="s">
        <v>303</v>
      </c>
      <c r="F325" s="76">
        <v>42062</v>
      </c>
      <c r="G325" s="76" t="s">
        <v>308</v>
      </c>
      <c r="H325" s="76" t="s">
        <v>288</v>
      </c>
      <c r="I325" s="74">
        <v>600</v>
      </c>
      <c r="J325" s="74">
        <v>11922</v>
      </c>
      <c r="K325" s="74">
        <v>5082</v>
      </c>
      <c r="L325" s="74">
        <v>6840</v>
      </c>
    </row>
    <row r="326" spans="1:12" x14ac:dyDescent="0.35">
      <c r="A326" s="74" t="s">
        <v>275</v>
      </c>
      <c r="B326" s="74" t="s">
        <v>276</v>
      </c>
      <c r="C326" s="74" t="s">
        <v>320</v>
      </c>
      <c r="D326" s="74" t="s">
        <v>321</v>
      </c>
      <c r="E326" s="75" t="s">
        <v>279</v>
      </c>
      <c r="F326" s="76">
        <v>42062</v>
      </c>
      <c r="G326" s="76" t="s">
        <v>308</v>
      </c>
      <c r="H326" s="76" t="s">
        <v>345</v>
      </c>
      <c r="I326" s="74">
        <v>200</v>
      </c>
      <c r="J326" s="74">
        <v>4614</v>
      </c>
      <c r="K326" s="74">
        <v>2044</v>
      </c>
      <c r="L326" s="74">
        <v>2570</v>
      </c>
    </row>
    <row r="327" spans="1:12" x14ac:dyDescent="0.35">
      <c r="A327" s="74" t="s">
        <v>282</v>
      </c>
      <c r="B327" s="74" t="s">
        <v>283</v>
      </c>
      <c r="C327" s="74" t="s">
        <v>284</v>
      </c>
      <c r="D327" s="74" t="s">
        <v>285</v>
      </c>
      <c r="E327" s="75" t="s">
        <v>279</v>
      </c>
      <c r="F327" s="76">
        <v>42063</v>
      </c>
      <c r="G327" s="76" t="s">
        <v>292</v>
      </c>
      <c r="H327" s="76" t="s">
        <v>288</v>
      </c>
      <c r="I327" s="74">
        <v>1000</v>
      </c>
      <c r="J327" s="74">
        <v>20490</v>
      </c>
      <c r="K327" s="74">
        <v>10220</v>
      </c>
      <c r="L327" s="74">
        <v>10270</v>
      </c>
    </row>
    <row r="328" spans="1:12" x14ac:dyDescent="0.35">
      <c r="A328" s="74" t="s">
        <v>275</v>
      </c>
      <c r="B328" s="74" t="s">
        <v>283</v>
      </c>
      <c r="C328" s="74" t="s">
        <v>284</v>
      </c>
      <c r="D328" s="74" t="s">
        <v>285</v>
      </c>
      <c r="E328" s="75" t="s">
        <v>279</v>
      </c>
      <c r="F328" s="76">
        <v>42066</v>
      </c>
      <c r="G328" s="76" t="s">
        <v>301</v>
      </c>
      <c r="H328" s="76" t="s">
        <v>319</v>
      </c>
      <c r="I328" s="74">
        <v>400</v>
      </c>
      <c r="J328" s="74">
        <v>8620</v>
      </c>
      <c r="K328" s="74">
        <v>4088</v>
      </c>
      <c r="L328" s="74">
        <v>4532</v>
      </c>
    </row>
    <row r="329" spans="1:12" x14ac:dyDescent="0.35">
      <c r="A329" s="74" t="s">
        <v>275</v>
      </c>
      <c r="B329" s="74" t="s">
        <v>283</v>
      </c>
      <c r="C329" s="74" t="s">
        <v>284</v>
      </c>
      <c r="D329" s="74" t="s">
        <v>285</v>
      </c>
      <c r="E329" s="75" t="s">
        <v>286</v>
      </c>
      <c r="F329" s="76">
        <v>42067</v>
      </c>
      <c r="G329" s="76" t="s">
        <v>280</v>
      </c>
      <c r="H329" s="76" t="s">
        <v>311</v>
      </c>
      <c r="I329" s="74">
        <v>500</v>
      </c>
      <c r="J329" s="74">
        <v>11860</v>
      </c>
      <c r="K329" s="74">
        <v>4920</v>
      </c>
      <c r="L329" s="74">
        <v>6940</v>
      </c>
    </row>
    <row r="330" spans="1:12" x14ac:dyDescent="0.35">
      <c r="A330" s="74" t="s">
        <v>298</v>
      </c>
      <c r="B330" s="74" t="s">
        <v>126</v>
      </c>
      <c r="C330" s="74" t="s">
        <v>329</v>
      </c>
      <c r="D330" s="74" t="s">
        <v>330</v>
      </c>
      <c r="E330" s="75" t="s">
        <v>303</v>
      </c>
      <c r="F330" s="76">
        <v>42069</v>
      </c>
      <c r="G330" s="76" t="s">
        <v>308</v>
      </c>
      <c r="H330" s="76" t="s">
        <v>331</v>
      </c>
      <c r="I330" s="74">
        <v>800</v>
      </c>
      <c r="J330" s="74">
        <v>14984</v>
      </c>
      <c r="K330" s="74">
        <v>6776</v>
      </c>
      <c r="L330" s="74">
        <v>8208</v>
      </c>
    </row>
    <row r="331" spans="1:12" x14ac:dyDescent="0.35">
      <c r="A331" s="74" t="s">
        <v>275</v>
      </c>
      <c r="B331" s="74" t="s">
        <v>276</v>
      </c>
      <c r="C331" s="74" t="s">
        <v>277</v>
      </c>
      <c r="D331" s="74" t="s">
        <v>278</v>
      </c>
      <c r="E331" s="75" t="s">
        <v>303</v>
      </c>
      <c r="F331" s="76">
        <v>42069</v>
      </c>
      <c r="G331" s="76" t="s">
        <v>308</v>
      </c>
      <c r="H331" s="76" t="s">
        <v>281</v>
      </c>
      <c r="I331" s="74">
        <v>200</v>
      </c>
      <c r="J331" s="74">
        <v>4010</v>
      </c>
      <c r="K331" s="74">
        <v>1694</v>
      </c>
      <c r="L331" s="74">
        <v>2316</v>
      </c>
    </row>
    <row r="332" spans="1:12" x14ac:dyDescent="0.35">
      <c r="A332" s="74" t="s">
        <v>275</v>
      </c>
      <c r="B332" s="74" t="s">
        <v>276</v>
      </c>
      <c r="C332" s="74" t="s">
        <v>277</v>
      </c>
      <c r="D332" s="74" t="s">
        <v>278</v>
      </c>
      <c r="E332" s="75" t="s">
        <v>279</v>
      </c>
      <c r="F332" s="76">
        <v>42072</v>
      </c>
      <c r="G332" s="76" t="s">
        <v>318</v>
      </c>
      <c r="H332" s="76" t="s">
        <v>304</v>
      </c>
      <c r="I332" s="74">
        <v>500</v>
      </c>
      <c r="J332" s="74">
        <v>12505</v>
      </c>
      <c r="K332" s="74">
        <v>5110</v>
      </c>
      <c r="L332" s="74">
        <v>7395</v>
      </c>
    </row>
    <row r="333" spans="1:12" x14ac:dyDescent="0.35">
      <c r="A333" s="74" t="s">
        <v>275</v>
      </c>
      <c r="B333" s="74" t="s">
        <v>276</v>
      </c>
      <c r="C333" s="74" t="s">
        <v>277</v>
      </c>
      <c r="D333" s="74" t="s">
        <v>278</v>
      </c>
      <c r="E333" s="75" t="s">
        <v>303</v>
      </c>
      <c r="F333" s="76">
        <v>42076</v>
      </c>
      <c r="G333" s="76" t="s">
        <v>308</v>
      </c>
      <c r="H333" s="76" t="s">
        <v>304</v>
      </c>
      <c r="I333" s="74">
        <v>100</v>
      </c>
      <c r="J333" s="74">
        <v>1704</v>
      </c>
      <c r="K333" s="74">
        <v>847</v>
      </c>
      <c r="L333" s="74">
        <v>857</v>
      </c>
    </row>
    <row r="334" spans="1:12" x14ac:dyDescent="0.35">
      <c r="A334" s="74" t="s">
        <v>275</v>
      </c>
      <c r="B334" s="74" t="s">
        <v>283</v>
      </c>
      <c r="C334" s="74" t="s">
        <v>284</v>
      </c>
      <c r="D334" s="74" t="s">
        <v>285</v>
      </c>
      <c r="E334" s="75" t="s">
        <v>279</v>
      </c>
      <c r="F334" s="76">
        <v>42076</v>
      </c>
      <c r="G334" s="76" t="s">
        <v>308</v>
      </c>
      <c r="H334" s="76" t="s">
        <v>311</v>
      </c>
      <c r="I334" s="74">
        <v>300</v>
      </c>
      <c r="J334" s="74">
        <v>7305</v>
      </c>
      <c r="K334" s="74">
        <v>3066</v>
      </c>
      <c r="L334" s="74">
        <v>4239</v>
      </c>
    </row>
    <row r="335" spans="1:12" x14ac:dyDescent="0.35">
      <c r="A335" s="74" t="s">
        <v>275</v>
      </c>
      <c r="B335" s="74" t="s">
        <v>283</v>
      </c>
      <c r="C335" s="74" t="s">
        <v>284</v>
      </c>
      <c r="D335" s="74" t="s">
        <v>285</v>
      </c>
      <c r="E335" s="75" t="s">
        <v>279</v>
      </c>
      <c r="F335" s="76">
        <v>42077</v>
      </c>
      <c r="G335" s="76" t="s">
        <v>292</v>
      </c>
      <c r="H335" s="76" t="s">
        <v>311</v>
      </c>
      <c r="I335" s="74">
        <v>500</v>
      </c>
      <c r="J335" s="74">
        <v>11965</v>
      </c>
      <c r="K335" s="74">
        <v>5110</v>
      </c>
      <c r="L335" s="74">
        <v>6855</v>
      </c>
    </row>
    <row r="336" spans="1:12" x14ac:dyDescent="0.35">
      <c r="A336" s="74" t="s">
        <v>298</v>
      </c>
      <c r="B336" s="74" t="s">
        <v>126</v>
      </c>
      <c r="C336" s="74" t="s">
        <v>329</v>
      </c>
      <c r="D336" s="74" t="s">
        <v>330</v>
      </c>
      <c r="E336" s="75" t="s">
        <v>279</v>
      </c>
      <c r="F336" s="76">
        <v>42079</v>
      </c>
      <c r="G336" s="76" t="s">
        <v>318</v>
      </c>
      <c r="H336" s="76" t="s">
        <v>331</v>
      </c>
      <c r="I336" s="74">
        <v>400</v>
      </c>
      <c r="J336" s="74">
        <v>9240</v>
      </c>
      <c r="K336" s="74">
        <v>4088</v>
      </c>
      <c r="L336" s="74">
        <v>5152</v>
      </c>
    </row>
    <row r="337" spans="1:12" x14ac:dyDescent="0.35">
      <c r="A337" s="74" t="s">
        <v>275</v>
      </c>
      <c r="B337" s="74" t="s">
        <v>276</v>
      </c>
      <c r="C337" s="74" t="s">
        <v>277</v>
      </c>
      <c r="D337" s="74" t="s">
        <v>278</v>
      </c>
      <c r="E337" s="75" t="s">
        <v>286</v>
      </c>
      <c r="F337" s="76">
        <v>42079</v>
      </c>
      <c r="G337" s="76" t="s">
        <v>318</v>
      </c>
      <c r="H337" s="76" t="s">
        <v>281</v>
      </c>
      <c r="I337" s="74">
        <v>200</v>
      </c>
      <c r="J337" s="74">
        <v>4526</v>
      </c>
      <c r="K337" s="74">
        <v>1968</v>
      </c>
      <c r="L337" s="74">
        <v>2558</v>
      </c>
    </row>
    <row r="338" spans="1:12" x14ac:dyDescent="0.35">
      <c r="A338" s="74" t="s">
        <v>275</v>
      </c>
      <c r="B338" s="74" t="s">
        <v>283</v>
      </c>
      <c r="C338" s="74" t="s">
        <v>284</v>
      </c>
      <c r="D338" s="74" t="s">
        <v>285</v>
      </c>
      <c r="E338" s="75" t="s">
        <v>286</v>
      </c>
      <c r="F338" s="76">
        <v>42081</v>
      </c>
      <c r="G338" s="76" t="s">
        <v>280</v>
      </c>
      <c r="H338" s="76" t="s">
        <v>311</v>
      </c>
      <c r="I338" s="74">
        <v>500</v>
      </c>
      <c r="J338" s="74">
        <v>11695</v>
      </c>
      <c r="K338" s="74">
        <v>4920</v>
      </c>
      <c r="L338" s="74">
        <v>6775</v>
      </c>
    </row>
    <row r="339" spans="1:12" x14ac:dyDescent="0.35">
      <c r="A339" s="74" t="s">
        <v>289</v>
      </c>
      <c r="B339" s="74" t="s">
        <v>126</v>
      </c>
      <c r="C339" s="74" t="s">
        <v>290</v>
      </c>
      <c r="D339" s="74" t="s">
        <v>291</v>
      </c>
      <c r="E339" s="75" t="s">
        <v>286</v>
      </c>
      <c r="F339" s="76">
        <v>42082</v>
      </c>
      <c r="G339" s="76" t="s">
        <v>287</v>
      </c>
      <c r="H339" s="76" t="s">
        <v>323</v>
      </c>
      <c r="I339" s="74">
        <v>100</v>
      </c>
      <c r="J339" s="74">
        <v>2272</v>
      </c>
      <c r="K339" s="74">
        <v>984</v>
      </c>
      <c r="L339" s="74">
        <v>1288</v>
      </c>
    </row>
    <row r="340" spans="1:12" x14ac:dyDescent="0.35">
      <c r="A340" s="74" t="s">
        <v>275</v>
      </c>
      <c r="B340" s="74" t="s">
        <v>276</v>
      </c>
      <c r="C340" s="74" t="s">
        <v>277</v>
      </c>
      <c r="D340" s="74" t="s">
        <v>278</v>
      </c>
      <c r="E340" s="75" t="s">
        <v>286</v>
      </c>
      <c r="F340" s="76">
        <v>42083</v>
      </c>
      <c r="G340" s="76" t="s">
        <v>308</v>
      </c>
      <c r="H340" s="76" t="s">
        <v>281</v>
      </c>
      <c r="I340" s="74">
        <v>100</v>
      </c>
      <c r="J340" s="74">
        <v>2157</v>
      </c>
      <c r="K340" s="74">
        <v>984</v>
      </c>
      <c r="L340" s="74">
        <v>1173</v>
      </c>
    </row>
    <row r="341" spans="1:12" x14ac:dyDescent="0.35">
      <c r="A341" s="74" t="s">
        <v>282</v>
      </c>
      <c r="B341" s="74" t="s">
        <v>283</v>
      </c>
      <c r="C341" s="74" t="s">
        <v>284</v>
      </c>
      <c r="D341" s="74" t="s">
        <v>285</v>
      </c>
      <c r="E341" s="75" t="s">
        <v>279</v>
      </c>
      <c r="F341" s="76">
        <v>42085</v>
      </c>
      <c r="G341" s="76" t="s">
        <v>310</v>
      </c>
      <c r="H341" s="76" t="s">
        <v>288</v>
      </c>
      <c r="I341" s="74">
        <v>400</v>
      </c>
      <c r="J341" s="74">
        <v>8732</v>
      </c>
      <c r="K341" s="74">
        <v>4088</v>
      </c>
      <c r="L341" s="74">
        <v>4644</v>
      </c>
    </row>
    <row r="342" spans="1:12" x14ac:dyDescent="0.35">
      <c r="A342" s="74" t="s">
        <v>298</v>
      </c>
      <c r="B342" s="74" t="s">
        <v>283</v>
      </c>
      <c r="C342" s="74" t="s">
        <v>284</v>
      </c>
      <c r="D342" s="74" t="s">
        <v>285</v>
      </c>
      <c r="E342" s="75" t="s">
        <v>286</v>
      </c>
      <c r="F342" s="76">
        <v>42086</v>
      </c>
      <c r="G342" s="76" t="s">
        <v>318</v>
      </c>
      <c r="H342" s="76" t="s">
        <v>315</v>
      </c>
      <c r="I342" s="74">
        <v>800</v>
      </c>
      <c r="J342" s="74">
        <v>15856</v>
      </c>
      <c r="K342" s="74">
        <v>7872</v>
      </c>
      <c r="L342" s="74">
        <v>7984</v>
      </c>
    </row>
    <row r="343" spans="1:12" x14ac:dyDescent="0.35">
      <c r="A343" s="74" t="s">
        <v>294</v>
      </c>
      <c r="B343" s="74" t="s">
        <v>276</v>
      </c>
      <c r="C343" s="74" t="s">
        <v>295</v>
      </c>
      <c r="D343" s="74" t="s">
        <v>296</v>
      </c>
      <c r="E343" s="75" t="s">
        <v>316</v>
      </c>
      <c r="F343" s="76">
        <v>42087</v>
      </c>
      <c r="G343" s="76" t="s">
        <v>301</v>
      </c>
      <c r="H343" s="76" t="s">
        <v>297</v>
      </c>
      <c r="I343" s="74">
        <v>100</v>
      </c>
      <c r="J343" s="74">
        <v>2484</v>
      </c>
      <c r="K343" s="74">
        <v>1022</v>
      </c>
      <c r="L343" s="74">
        <v>1462</v>
      </c>
    </row>
    <row r="344" spans="1:12" x14ac:dyDescent="0.35">
      <c r="A344" s="74" t="s">
        <v>305</v>
      </c>
      <c r="B344" s="74" t="s">
        <v>126</v>
      </c>
      <c r="C344" s="74" t="s">
        <v>306</v>
      </c>
      <c r="D344" s="74" t="s">
        <v>307</v>
      </c>
      <c r="E344" s="75" t="s">
        <v>286</v>
      </c>
      <c r="F344" s="76">
        <v>42087</v>
      </c>
      <c r="G344" s="76" t="s">
        <v>301</v>
      </c>
      <c r="H344" s="76" t="s">
        <v>309</v>
      </c>
      <c r="I344" s="74">
        <v>1000</v>
      </c>
      <c r="J344" s="74">
        <v>23820</v>
      </c>
      <c r="K344" s="74">
        <v>9840</v>
      </c>
      <c r="L344" s="74">
        <v>13980</v>
      </c>
    </row>
    <row r="345" spans="1:12" x14ac:dyDescent="0.35">
      <c r="A345" s="74" t="s">
        <v>275</v>
      </c>
      <c r="B345" s="74" t="s">
        <v>283</v>
      </c>
      <c r="C345" s="74" t="s">
        <v>284</v>
      </c>
      <c r="D345" s="74" t="s">
        <v>285</v>
      </c>
      <c r="E345" s="75" t="s">
        <v>286</v>
      </c>
      <c r="F345" s="76">
        <v>42088</v>
      </c>
      <c r="G345" s="76" t="s">
        <v>280</v>
      </c>
      <c r="H345" s="76" t="s">
        <v>319</v>
      </c>
      <c r="I345" s="74">
        <v>200</v>
      </c>
      <c r="J345" s="74">
        <v>4472</v>
      </c>
      <c r="K345" s="74">
        <v>1968</v>
      </c>
      <c r="L345" s="74">
        <v>2504</v>
      </c>
    </row>
    <row r="346" spans="1:12" x14ac:dyDescent="0.35">
      <c r="A346" s="74" t="s">
        <v>275</v>
      </c>
      <c r="B346" s="74" t="s">
        <v>276</v>
      </c>
      <c r="C346" s="74" t="s">
        <v>277</v>
      </c>
      <c r="D346" s="74" t="s">
        <v>278</v>
      </c>
      <c r="E346" s="75" t="s">
        <v>303</v>
      </c>
      <c r="F346" s="76">
        <v>42089</v>
      </c>
      <c r="G346" s="76" t="s">
        <v>287</v>
      </c>
      <c r="H346" s="76" t="s">
        <v>304</v>
      </c>
      <c r="I346" s="74">
        <v>700</v>
      </c>
      <c r="J346" s="74">
        <v>11858</v>
      </c>
      <c r="K346" s="74">
        <v>5929</v>
      </c>
      <c r="L346" s="74">
        <v>5929</v>
      </c>
    </row>
    <row r="347" spans="1:12" x14ac:dyDescent="0.35">
      <c r="A347" s="74" t="s">
        <v>275</v>
      </c>
      <c r="B347" s="74" t="s">
        <v>276</v>
      </c>
      <c r="C347" s="74" t="s">
        <v>277</v>
      </c>
      <c r="D347" s="74" t="s">
        <v>278</v>
      </c>
      <c r="E347" s="75" t="s">
        <v>303</v>
      </c>
      <c r="F347" s="76">
        <v>42091</v>
      </c>
      <c r="G347" s="76" t="s">
        <v>292</v>
      </c>
      <c r="H347" s="76" t="s">
        <v>304</v>
      </c>
      <c r="I347" s="74">
        <v>500</v>
      </c>
      <c r="J347" s="74">
        <v>9855</v>
      </c>
      <c r="K347" s="74">
        <v>4235</v>
      </c>
      <c r="L347" s="74">
        <v>5620</v>
      </c>
    </row>
    <row r="348" spans="1:12" x14ac:dyDescent="0.35">
      <c r="A348" s="74" t="s">
        <v>305</v>
      </c>
      <c r="B348" s="74" t="s">
        <v>126</v>
      </c>
      <c r="C348" s="74" t="s">
        <v>306</v>
      </c>
      <c r="D348" s="74" t="s">
        <v>307</v>
      </c>
      <c r="E348" s="75" t="s">
        <v>286</v>
      </c>
      <c r="F348" s="76">
        <v>42093</v>
      </c>
      <c r="G348" s="76" t="s">
        <v>318</v>
      </c>
      <c r="H348" s="76" t="s">
        <v>309</v>
      </c>
      <c r="I348" s="74">
        <v>800</v>
      </c>
      <c r="J348" s="74">
        <v>17240</v>
      </c>
      <c r="K348" s="74">
        <v>7872</v>
      </c>
      <c r="L348" s="74">
        <v>9368</v>
      </c>
    </row>
    <row r="349" spans="1:12" x14ac:dyDescent="0.35">
      <c r="A349" s="74" t="s">
        <v>275</v>
      </c>
      <c r="B349" s="74" t="s">
        <v>276</v>
      </c>
      <c r="C349" s="74" t="s">
        <v>277</v>
      </c>
      <c r="D349" s="74" t="s">
        <v>278</v>
      </c>
      <c r="E349" s="75" t="s">
        <v>279</v>
      </c>
      <c r="F349" s="76">
        <v>42094</v>
      </c>
      <c r="G349" s="76" t="s">
        <v>301</v>
      </c>
      <c r="H349" s="76" t="s">
        <v>281</v>
      </c>
      <c r="I349" s="74">
        <v>600</v>
      </c>
      <c r="J349" s="74">
        <v>13542</v>
      </c>
      <c r="K349" s="74">
        <v>6132</v>
      </c>
      <c r="L349" s="74">
        <v>7410</v>
      </c>
    </row>
    <row r="350" spans="1:12" x14ac:dyDescent="0.35">
      <c r="A350" s="74" t="s">
        <v>294</v>
      </c>
      <c r="B350" s="74" t="s">
        <v>128</v>
      </c>
      <c r="C350" s="74" t="s">
        <v>299</v>
      </c>
      <c r="D350" s="74" t="s">
        <v>300</v>
      </c>
      <c r="E350" s="75" t="s">
        <v>316</v>
      </c>
      <c r="F350" s="76">
        <v>42095</v>
      </c>
      <c r="G350" s="76" t="s">
        <v>280</v>
      </c>
      <c r="H350" s="76" t="s">
        <v>332</v>
      </c>
      <c r="I350" s="74">
        <v>300</v>
      </c>
      <c r="J350" s="74">
        <v>5859</v>
      </c>
      <c r="K350" s="74">
        <v>2541</v>
      </c>
      <c r="L350" s="74">
        <v>3318</v>
      </c>
    </row>
    <row r="351" spans="1:12" x14ac:dyDescent="0.35">
      <c r="A351" s="74" t="s">
        <v>289</v>
      </c>
      <c r="B351" s="74" t="s">
        <v>126</v>
      </c>
      <c r="C351" s="74" t="s">
        <v>290</v>
      </c>
      <c r="D351" s="74" t="s">
        <v>291</v>
      </c>
      <c r="E351" s="75" t="s">
        <v>286</v>
      </c>
      <c r="F351" s="76">
        <v>42097</v>
      </c>
      <c r="G351" s="76" t="s">
        <v>308</v>
      </c>
      <c r="H351" s="76" t="s">
        <v>323</v>
      </c>
      <c r="I351" s="74">
        <v>300</v>
      </c>
      <c r="J351" s="74">
        <v>7233</v>
      </c>
      <c r="K351" s="74">
        <v>2952</v>
      </c>
      <c r="L351" s="74">
        <v>4281</v>
      </c>
    </row>
    <row r="352" spans="1:12" x14ac:dyDescent="0.35">
      <c r="A352" s="74" t="s">
        <v>275</v>
      </c>
      <c r="B352" s="74" t="s">
        <v>276</v>
      </c>
      <c r="C352" s="74" t="s">
        <v>277</v>
      </c>
      <c r="D352" s="74" t="s">
        <v>278</v>
      </c>
      <c r="E352" s="75" t="s">
        <v>303</v>
      </c>
      <c r="F352" s="76">
        <v>42098</v>
      </c>
      <c r="G352" s="76" t="s">
        <v>292</v>
      </c>
      <c r="H352" s="76" t="s">
        <v>281</v>
      </c>
      <c r="I352" s="74">
        <v>400</v>
      </c>
      <c r="J352" s="74">
        <v>7752</v>
      </c>
      <c r="K352" s="74">
        <v>3388</v>
      </c>
      <c r="L352" s="74">
        <v>4364</v>
      </c>
    </row>
    <row r="353" spans="1:12" x14ac:dyDescent="0.35">
      <c r="A353" s="74" t="s">
        <v>275</v>
      </c>
      <c r="B353" s="74" t="s">
        <v>276</v>
      </c>
      <c r="C353" s="74" t="s">
        <v>277</v>
      </c>
      <c r="D353" s="74" t="s">
        <v>278</v>
      </c>
      <c r="E353" s="75" t="s">
        <v>279</v>
      </c>
      <c r="F353" s="76">
        <v>42098</v>
      </c>
      <c r="G353" s="76" t="s">
        <v>292</v>
      </c>
      <c r="H353" s="76" t="s">
        <v>304</v>
      </c>
      <c r="I353" s="74">
        <v>700</v>
      </c>
      <c r="J353" s="74">
        <v>15435</v>
      </c>
      <c r="K353" s="74">
        <v>7154</v>
      </c>
      <c r="L353" s="74">
        <v>8281</v>
      </c>
    </row>
    <row r="354" spans="1:12" x14ac:dyDescent="0.35">
      <c r="A354" s="74" t="s">
        <v>289</v>
      </c>
      <c r="B354" s="74" t="s">
        <v>126</v>
      </c>
      <c r="C354" s="74" t="s">
        <v>290</v>
      </c>
      <c r="D354" s="74" t="s">
        <v>291</v>
      </c>
      <c r="E354" s="75" t="s">
        <v>279</v>
      </c>
      <c r="F354" s="76">
        <v>42099</v>
      </c>
      <c r="G354" s="76" t="s">
        <v>310</v>
      </c>
      <c r="H354" s="76" t="s">
        <v>323</v>
      </c>
      <c r="I354" s="74">
        <v>100</v>
      </c>
      <c r="J354" s="74">
        <v>2178</v>
      </c>
      <c r="K354" s="74">
        <v>1022</v>
      </c>
      <c r="L354" s="74">
        <v>1156</v>
      </c>
    </row>
    <row r="355" spans="1:12" x14ac:dyDescent="0.35">
      <c r="A355" s="74" t="s">
        <v>298</v>
      </c>
      <c r="B355" s="74" t="s">
        <v>283</v>
      </c>
      <c r="C355" s="74" t="s">
        <v>284</v>
      </c>
      <c r="D355" s="74" t="s">
        <v>285</v>
      </c>
      <c r="E355" s="75" t="s">
        <v>303</v>
      </c>
      <c r="F355" s="76">
        <v>42099</v>
      </c>
      <c r="G355" s="76" t="s">
        <v>310</v>
      </c>
      <c r="H355" s="76" t="s">
        <v>315</v>
      </c>
      <c r="I355" s="74">
        <v>500</v>
      </c>
      <c r="J355" s="74">
        <v>9575</v>
      </c>
      <c r="K355" s="74">
        <v>4235</v>
      </c>
      <c r="L355" s="74">
        <v>5340</v>
      </c>
    </row>
    <row r="356" spans="1:12" x14ac:dyDescent="0.35">
      <c r="A356" s="74" t="s">
        <v>275</v>
      </c>
      <c r="B356" s="74" t="s">
        <v>276</v>
      </c>
      <c r="C356" s="74" t="s">
        <v>277</v>
      </c>
      <c r="D356" s="74" t="s">
        <v>278</v>
      </c>
      <c r="E356" s="75" t="s">
        <v>303</v>
      </c>
      <c r="F356" s="76">
        <v>42101</v>
      </c>
      <c r="G356" s="76" t="s">
        <v>301</v>
      </c>
      <c r="H356" s="76" t="s">
        <v>281</v>
      </c>
      <c r="I356" s="74">
        <v>500</v>
      </c>
      <c r="J356" s="74">
        <v>10460</v>
      </c>
      <c r="K356" s="74">
        <v>4235</v>
      </c>
      <c r="L356" s="74">
        <v>6225</v>
      </c>
    </row>
    <row r="357" spans="1:12" x14ac:dyDescent="0.35">
      <c r="A357" s="74" t="s">
        <v>275</v>
      </c>
      <c r="B357" s="74" t="s">
        <v>276</v>
      </c>
      <c r="C357" s="74" t="s">
        <v>277</v>
      </c>
      <c r="D357" s="74" t="s">
        <v>278</v>
      </c>
      <c r="E357" s="75" t="s">
        <v>303</v>
      </c>
      <c r="F357" s="76">
        <v>42104</v>
      </c>
      <c r="G357" s="76" t="s">
        <v>308</v>
      </c>
      <c r="H357" s="76" t="s">
        <v>304</v>
      </c>
      <c r="I357" s="74">
        <v>400</v>
      </c>
      <c r="J357" s="74">
        <v>8132</v>
      </c>
      <c r="K357" s="74">
        <v>3388</v>
      </c>
      <c r="L357" s="74">
        <v>4744</v>
      </c>
    </row>
    <row r="358" spans="1:12" x14ac:dyDescent="0.35">
      <c r="A358" s="74" t="s">
        <v>275</v>
      </c>
      <c r="B358" s="74" t="s">
        <v>276</v>
      </c>
      <c r="C358" s="74" t="s">
        <v>277</v>
      </c>
      <c r="D358" s="74" t="s">
        <v>278</v>
      </c>
      <c r="E358" s="75" t="s">
        <v>279</v>
      </c>
      <c r="F358" s="76">
        <v>42104</v>
      </c>
      <c r="G358" s="76" t="s">
        <v>308</v>
      </c>
      <c r="H358" s="76" t="s">
        <v>281</v>
      </c>
      <c r="I358" s="74">
        <v>800</v>
      </c>
      <c r="J358" s="74">
        <v>18344</v>
      </c>
      <c r="K358" s="74">
        <v>8176</v>
      </c>
      <c r="L358" s="74">
        <v>10168</v>
      </c>
    </row>
    <row r="359" spans="1:12" x14ac:dyDescent="0.35">
      <c r="A359" s="74" t="s">
        <v>275</v>
      </c>
      <c r="B359" s="74" t="s">
        <v>283</v>
      </c>
      <c r="C359" s="74" t="s">
        <v>284</v>
      </c>
      <c r="D359" s="74" t="s">
        <v>285</v>
      </c>
      <c r="E359" s="75" t="s">
        <v>286</v>
      </c>
      <c r="F359" s="76">
        <v>42106</v>
      </c>
      <c r="G359" s="76" t="s">
        <v>310</v>
      </c>
      <c r="H359" s="76" t="s">
        <v>319</v>
      </c>
      <c r="I359" s="74">
        <v>400</v>
      </c>
      <c r="J359" s="74">
        <v>8776</v>
      </c>
      <c r="K359" s="74">
        <v>3936</v>
      </c>
      <c r="L359" s="74">
        <v>4840</v>
      </c>
    </row>
    <row r="360" spans="1:12" x14ac:dyDescent="0.35">
      <c r="A360" s="74" t="s">
        <v>305</v>
      </c>
      <c r="B360" s="74" t="s">
        <v>126</v>
      </c>
      <c r="C360" s="74" t="s">
        <v>306</v>
      </c>
      <c r="D360" s="74" t="s">
        <v>307</v>
      </c>
      <c r="E360" s="75" t="s">
        <v>286</v>
      </c>
      <c r="F360" s="76">
        <v>42107</v>
      </c>
      <c r="G360" s="76" t="s">
        <v>318</v>
      </c>
      <c r="H360" s="76" t="s">
        <v>309</v>
      </c>
      <c r="I360" s="74">
        <v>900</v>
      </c>
      <c r="J360" s="74">
        <v>20403</v>
      </c>
      <c r="K360" s="74">
        <v>8856</v>
      </c>
      <c r="L360" s="74">
        <v>11547</v>
      </c>
    </row>
    <row r="361" spans="1:12" x14ac:dyDescent="0.35">
      <c r="A361" s="74" t="s">
        <v>298</v>
      </c>
      <c r="B361" s="74" t="s">
        <v>283</v>
      </c>
      <c r="C361" s="74" t="s">
        <v>284</v>
      </c>
      <c r="D361" s="74" t="s">
        <v>285</v>
      </c>
      <c r="E361" s="75" t="s">
        <v>286</v>
      </c>
      <c r="F361" s="76">
        <v>42108</v>
      </c>
      <c r="G361" s="76" t="s">
        <v>301</v>
      </c>
      <c r="H361" s="76" t="s">
        <v>341</v>
      </c>
      <c r="I361" s="74">
        <v>600</v>
      </c>
      <c r="J361" s="74">
        <v>14004</v>
      </c>
      <c r="K361" s="74">
        <v>5904</v>
      </c>
      <c r="L361" s="74">
        <v>8100</v>
      </c>
    </row>
    <row r="362" spans="1:12" x14ac:dyDescent="0.35">
      <c r="A362" s="74" t="s">
        <v>275</v>
      </c>
      <c r="B362" s="74" t="s">
        <v>276</v>
      </c>
      <c r="C362" s="74" t="s">
        <v>277</v>
      </c>
      <c r="D362" s="74" t="s">
        <v>278</v>
      </c>
      <c r="E362" s="75" t="s">
        <v>303</v>
      </c>
      <c r="F362" s="76">
        <v>42109</v>
      </c>
      <c r="G362" s="76" t="s">
        <v>280</v>
      </c>
      <c r="H362" s="76" t="s">
        <v>281</v>
      </c>
      <c r="I362" s="74">
        <v>800</v>
      </c>
      <c r="J362" s="74">
        <v>14216</v>
      </c>
      <c r="K362" s="74">
        <v>6776</v>
      </c>
      <c r="L362" s="74">
        <v>7440</v>
      </c>
    </row>
    <row r="363" spans="1:12" x14ac:dyDescent="0.35">
      <c r="A363" s="74" t="s">
        <v>275</v>
      </c>
      <c r="B363" s="74" t="s">
        <v>276</v>
      </c>
      <c r="C363" s="74" t="s">
        <v>277</v>
      </c>
      <c r="D363" s="74" t="s">
        <v>278</v>
      </c>
      <c r="E363" s="75" t="s">
        <v>303</v>
      </c>
      <c r="F363" s="76">
        <v>42114</v>
      </c>
      <c r="G363" s="76" t="s">
        <v>318</v>
      </c>
      <c r="H363" s="76" t="s">
        <v>304</v>
      </c>
      <c r="I363" s="74">
        <v>900</v>
      </c>
      <c r="J363" s="74">
        <v>17172</v>
      </c>
      <c r="K363" s="74">
        <v>7623</v>
      </c>
      <c r="L363" s="74">
        <v>9549</v>
      </c>
    </row>
    <row r="364" spans="1:12" x14ac:dyDescent="0.35">
      <c r="A364" s="74" t="s">
        <v>275</v>
      </c>
      <c r="B364" s="74" t="s">
        <v>276</v>
      </c>
      <c r="C364" s="74" t="s">
        <v>277</v>
      </c>
      <c r="D364" s="74" t="s">
        <v>278</v>
      </c>
      <c r="E364" s="75" t="s">
        <v>279</v>
      </c>
      <c r="F364" s="76">
        <v>42115</v>
      </c>
      <c r="G364" s="76" t="s">
        <v>301</v>
      </c>
      <c r="H364" s="76" t="s">
        <v>304</v>
      </c>
      <c r="I364" s="74">
        <v>1000</v>
      </c>
      <c r="J364" s="74">
        <v>20670</v>
      </c>
      <c r="K364" s="74">
        <v>10220</v>
      </c>
      <c r="L364" s="74">
        <v>10450</v>
      </c>
    </row>
    <row r="365" spans="1:12" x14ac:dyDescent="0.35">
      <c r="A365" s="74" t="s">
        <v>305</v>
      </c>
      <c r="B365" s="74" t="s">
        <v>126</v>
      </c>
      <c r="C365" s="74" t="s">
        <v>306</v>
      </c>
      <c r="D365" s="74" t="s">
        <v>307</v>
      </c>
      <c r="E365" s="75" t="s">
        <v>303</v>
      </c>
      <c r="F365" s="76">
        <v>42116</v>
      </c>
      <c r="G365" s="76" t="s">
        <v>280</v>
      </c>
      <c r="H365" s="76" t="s">
        <v>309</v>
      </c>
      <c r="I365" s="74">
        <v>400</v>
      </c>
      <c r="J365" s="74">
        <v>7376</v>
      </c>
      <c r="K365" s="74">
        <v>3388</v>
      </c>
      <c r="L365" s="74">
        <v>3988</v>
      </c>
    </row>
    <row r="366" spans="1:12" x14ac:dyDescent="0.35">
      <c r="A366" s="74" t="s">
        <v>294</v>
      </c>
      <c r="B366" s="74" t="s">
        <v>276</v>
      </c>
      <c r="C366" s="74" t="s">
        <v>295</v>
      </c>
      <c r="D366" s="74" t="s">
        <v>296</v>
      </c>
      <c r="E366" s="75" t="s">
        <v>279</v>
      </c>
      <c r="F366" s="76">
        <v>42118</v>
      </c>
      <c r="G366" s="76" t="s">
        <v>308</v>
      </c>
      <c r="H366" s="76" t="s">
        <v>297</v>
      </c>
      <c r="I366" s="74">
        <v>800</v>
      </c>
      <c r="J366" s="74">
        <v>17728</v>
      </c>
      <c r="K366" s="74">
        <v>8176</v>
      </c>
      <c r="L366" s="74">
        <v>9552</v>
      </c>
    </row>
    <row r="367" spans="1:12" x14ac:dyDescent="0.35">
      <c r="A367" s="74" t="s">
        <v>275</v>
      </c>
      <c r="B367" s="74" t="s">
        <v>276</v>
      </c>
      <c r="C367" s="74" t="s">
        <v>320</v>
      </c>
      <c r="D367" s="74" t="s">
        <v>321</v>
      </c>
      <c r="E367" s="75" t="s">
        <v>286</v>
      </c>
      <c r="F367" s="76">
        <v>42119</v>
      </c>
      <c r="G367" s="76" t="s">
        <v>292</v>
      </c>
      <c r="H367" s="76" t="s">
        <v>322</v>
      </c>
      <c r="I367" s="74">
        <v>1000</v>
      </c>
      <c r="J367" s="74">
        <v>20950</v>
      </c>
      <c r="K367" s="74">
        <v>9840</v>
      </c>
      <c r="L367" s="74">
        <v>11110</v>
      </c>
    </row>
    <row r="368" spans="1:12" x14ac:dyDescent="0.35">
      <c r="A368" s="74" t="s">
        <v>275</v>
      </c>
      <c r="B368" s="74" t="s">
        <v>276</v>
      </c>
      <c r="C368" s="74" t="s">
        <v>277</v>
      </c>
      <c r="D368" s="74" t="s">
        <v>278</v>
      </c>
      <c r="E368" s="75" t="s">
        <v>303</v>
      </c>
      <c r="F368" s="76">
        <v>42120</v>
      </c>
      <c r="G368" s="76" t="s">
        <v>310</v>
      </c>
      <c r="H368" s="76" t="s">
        <v>281</v>
      </c>
      <c r="I368" s="74">
        <v>400</v>
      </c>
      <c r="J368" s="74">
        <v>7852</v>
      </c>
      <c r="K368" s="74">
        <v>3388</v>
      </c>
      <c r="L368" s="74">
        <v>4464</v>
      </c>
    </row>
    <row r="369" spans="1:12" x14ac:dyDescent="0.35">
      <c r="A369" s="74" t="s">
        <v>305</v>
      </c>
      <c r="B369" s="74" t="s">
        <v>126</v>
      </c>
      <c r="C369" s="74" t="s">
        <v>306</v>
      </c>
      <c r="D369" s="74" t="s">
        <v>307</v>
      </c>
      <c r="E369" s="75" t="s">
        <v>303</v>
      </c>
      <c r="F369" s="76">
        <v>42121</v>
      </c>
      <c r="G369" s="76" t="s">
        <v>318</v>
      </c>
      <c r="H369" s="76" t="s">
        <v>309</v>
      </c>
      <c r="I369" s="74">
        <v>600</v>
      </c>
      <c r="J369" s="74">
        <v>12360</v>
      </c>
      <c r="K369" s="74">
        <v>5082</v>
      </c>
      <c r="L369" s="74">
        <v>7278</v>
      </c>
    </row>
    <row r="370" spans="1:12" x14ac:dyDescent="0.35">
      <c r="A370" s="74" t="s">
        <v>275</v>
      </c>
      <c r="B370" s="74" t="s">
        <v>283</v>
      </c>
      <c r="C370" s="74" t="s">
        <v>284</v>
      </c>
      <c r="D370" s="74" t="s">
        <v>285</v>
      </c>
      <c r="E370" s="75" t="s">
        <v>286</v>
      </c>
      <c r="F370" s="76">
        <v>42123</v>
      </c>
      <c r="G370" s="76" t="s">
        <v>280</v>
      </c>
      <c r="H370" s="76" t="s">
        <v>319</v>
      </c>
      <c r="I370" s="74">
        <v>300</v>
      </c>
      <c r="J370" s="74">
        <v>6069</v>
      </c>
      <c r="K370" s="74">
        <v>2541</v>
      </c>
      <c r="L370" s="74">
        <v>3528</v>
      </c>
    </row>
    <row r="371" spans="1:12" x14ac:dyDescent="0.35">
      <c r="A371" s="74" t="s">
        <v>275</v>
      </c>
      <c r="B371" s="74" t="s">
        <v>276</v>
      </c>
      <c r="C371" s="74" t="s">
        <v>277</v>
      </c>
      <c r="D371" s="74" t="s">
        <v>278</v>
      </c>
      <c r="E371" s="75" t="s">
        <v>286</v>
      </c>
      <c r="F371" s="76">
        <v>42123</v>
      </c>
      <c r="G371" s="76" t="s">
        <v>280</v>
      </c>
      <c r="H371" s="76" t="s">
        <v>281</v>
      </c>
      <c r="I371" s="74">
        <v>900</v>
      </c>
      <c r="J371" s="74">
        <v>18990</v>
      </c>
      <c r="K371" s="74">
        <v>8856</v>
      </c>
      <c r="L371" s="74">
        <v>10134</v>
      </c>
    </row>
    <row r="372" spans="1:12" x14ac:dyDescent="0.35">
      <c r="A372" s="74" t="s">
        <v>282</v>
      </c>
      <c r="B372" s="74" t="s">
        <v>126</v>
      </c>
      <c r="C372" s="74" t="s">
        <v>312</v>
      </c>
      <c r="D372" s="74" t="s">
        <v>313</v>
      </c>
      <c r="E372" s="75" t="s">
        <v>303</v>
      </c>
      <c r="F372" s="76">
        <v>42125</v>
      </c>
      <c r="G372" s="76" t="s">
        <v>308</v>
      </c>
      <c r="H372" s="76" t="s">
        <v>314</v>
      </c>
      <c r="I372" s="74">
        <v>1000</v>
      </c>
      <c r="J372" s="74">
        <v>20310</v>
      </c>
      <c r="K372" s="74">
        <v>8470</v>
      </c>
      <c r="L372" s="74">
        <v>11840</v>
      </c>
    </row>
    <row r="373" spans="1:12" x14ac:dyDescent="0.35">
      <c r="A373" s="74" t="s">
        <v>282</v>
      </c>
      <c r="B373" s="74" t="s">
        <v>126</v>
      </c>
      <c r="C373" s="74" t="s">
        <v>312</v>
      </c>
      <c r="D373" s="74" t="s">
        <v>313</v>
      </c>
      <c r="E373" s="75" t="s">
        <v>286</v>
      </c>
      <c r="F373" s="76">
        <v>42125</v>
      </c>
      <c r="G373" s="76" t="s">
        <v>308</v>
      </c>
      <c r="H373" s="76" t="s">
        <v>314</v>
      </c>
      <c r="I373" s="74">
        <v>300</v>
      </c>
      <c r="J373" s="74">
        <v>6018</v>
      </c>
      <c r="K373" s="74">
        <v>2952</v>
      </c>
      <c r="L373" s="74">
        <v>3066</v>
      </c>
    </row>
    <row r="374" spans="1:12" x14ac:dyDescent="0.35">
      <c r="A374" s="74" t="s">
        <v>282</v>
      </c>
      <c r="B374" s="74" t="s">
        <v>126</v>
      </c>
      <c r="C374" s="74" t="s">
        <v>312</v>
      </c>
      <c r="D374" s="74" t="s">
        <v>313</v>
      </c>
      <c r="E374" s="75" t="s">
        <v>279</v>
      </c>
      <c r="F374" s="76">
        <v>42126</v>
      </c>
      <c r="G374" s="76" t="s">
        <v>292</v>
      </c>
      <c r="H374" s="76" t="s">
        <v>314</v>
      </c>
      <c r="I374" s="74">
        <v>1000</v>
      </c>
      <c r="J374" s="74">
        <v>25310</v>
      </c>
      <c r="K374" s="74">
        <v>10220</v>
      </c>
      <c r="L374" s="74">
        <v>15090</v>
      </c>
    </row>
    <row r="375" spans="1:12" x14ac:dyDescent="0.35">
      <c r="A375" s="74" t="s">
        <v>282</v>
      </c>
      <c r="B375" s="74" t="s">
        <v>283</v>
      </c>
      <c r="C375" s="74" t="s">
        <v>284</v>
      </c>
      <c r="D375" s="74" t="s">
        <v>285</v>
      </c>
      <c r="E375" s="75" t="s">
        <v>286</v>
      </c>
      <c r="F375" s="76">
        <v>42127</v>
      </c>
      <c r="G375" s="76" t="s">
        <v>310</v>
      </c>
      <c r="H375" s="76" t="s">
        <v>288</v>
      </c>
      <c r="I375" s="74">
        <v>200</v>
      </c>
      <c r="J375" s="74">
        <v>4378</v>
      </c>
      <c r="K375" s="74">
        <v>1968</v>
      </c>
      <c r="L375" s="74">
        <v>2410</v>
      </c>
    </row>
    <row r="376" spans="1:12" x14ac:dyDescent="0.35">
      <c r="A376" s="74" t="s">
        <v>275</v>
      </c>
      <c r="B376" s="74" t="s">
        <v>276</v>
      </c>
      <c r="C376" s="74" t="s">
        <v>277</v>
      </c>
      <c r="D376" s="74" t="s">
        <v>278</v>
      </c>
      <c r="E376" s="75" t="s">
        <v>286</v>
      </c>
      <c r="F376" s="76">
        <v>42129</v>
      </c>
      <c r="G376" s="76" t="s">
        <v>301</v>
      </c>
      <c r="H376" s="76" t="s">
        <v>304</v>
      </c>
      <c r="I376" s="74">
        <v>700</v>
      </c>
      <c r="J376" s="74">
        <v>15407</v>
      </c>
      <c r="K376" s="74">
        <v>6888</v>
      </c>
      <c r="L376" s="74">
        <v>8519</v>
      </c>
    </row>
    <row r="377" spans="1:12" x14ac:dyDescent="0.35">
      <c r="A377" s="74" t="s">
        <v>305</v>
      </c>
      <c r="B377" s="74" t="s">
        <v>126</v>
      </c>
      <c r="C377" s="74" t="s">
        <v>306</v>
      </c>
      <c r="D377" s="74" t="s">
        <v>307</v>
      </c>
      <c r="E377" s="75" t="s">
        <v>303</v>
      </c>
      <c r="F377" s="76">
        <v>42130</v>
      </c>
      <c r="G377" s="76" t="s">
        <v>280</v>
      </c>
      <c r="H377" s="76" t="s">
        <v>309</v>
      </c>
      <c r="I377" s="74">
        <v>1000</v>
      </c>
      <c r="J377" s="74">
        <v>18290</v>
      </c>
      <c r="K377" s="74">
        <v>8470</v>
      </c>
      <c r="L377" s="74">
        <v>9820</v>
      </c>
    </row>
    <row r="378" spans="1:12" x14ac:dyDescent="0.35">
      <c r="A378" s="74" t="s">
        <v>282</v>
      </c>
      <c r="B378" s="74" t="s">
        <v>126</v>
      </c>
      <c r="C378" s="74" t="s">
        <v>312</v>
      </c>
      <c r="D378" s="74" t="s">
        <v>313</v>
      </c>
      <c r="E378" s="75" t="s">
        <v>303</v>
      </c>
      <c r="F378" s="76">
        <v>42131</v>
      </c>
      <c r="G378" s="76" t="s">
        <v>287</v>
      </c>
      <c r="H378" s="76" t="s">
        <v>314</v>
      </c>
      <c r="I378" s="74">
        <v>100</v>
      </c>
      <c r="J378" s="74">
        <v>1842</v>
      </c>
      <c r="K378" s="74">
        <v>847</v>
      </c>
      <c r="L378" s="74">
        <v>995</v>
      </c>
    </row>
    <row r="379" spans="1:12" x14ac:dyDescent="0.35">
      <c r="A379" s="74" t="s">
        <v>298</v>
      </c>
      <c r="B379" s="74" t="s">
        <v>283</v>
      </c>
      <c r="C379" s="74" t="s">
        <v>284</v>
      </c>
      <c r="D379" s="74" t="s">
        <v>285</v>
      </c>
      <c r="E379" s="75" t="s">
        <v>279</v>
      </c>
      <c r="F379" s="76">
        <v>42131</v>
      </c>
      <c r="G379" s="76" t="s">
        <v>287</v>
      </c>
      <c r="H379" s="76" t="s">
        <v>315</v>
      </c>
      <c r="I379" s="74">
        <v>500</v>
      </c>
      <c r="J379" s="74">
        <v>10400</v>
      </c>
      <c r="K379" s="74">
        <v>5110</v>
      </c>
      <c r="L379" s="74">
        <v>5290</v>
      </c>
    </row>
    <row r="380" spans="1:12" x14ac:dyDescent="0.35">
      <c r="A380" s="74" t="s">
        <v>275</v>
      </c>
      <c r="B380" s="74" t="s">
        <v>276</v>
      </c>
      <c r="C380" s="74" t="s">
        <v>277</v>
      </c>
      <c r="D380" s="74" t="s">
        <v>278</v>
      </c>
      <c r="E380" s="75" t="s">
        <v>303</v>
      </c>
      <c r="F380" s="76">
        <v>42132</v>
      </c>
      <c r="G380" s="76" t="s">
        <v>308</v>
      </c>
      <c r="H380" s="76" t="s">
        <v>281</v>
      </c>
      <c r="I380" s="74">
        <v>100</v>
      </c>
      <c r="J380" s="74">
        <v>1982</v>
      </c>
      <c r="K380" s="74">
        <v>847</v>
      </c>
      <c r="L380" s="74">
        <v>1135</v>
      </c>
    </row>
    <row r="381" spans="1:12" x14ac:dyDescent="0.35">
      <c r="A381" s="74" t="s">
        <v>298</v>
      </c>
      <c r="B381" s="74" t="s">
        <v>283</v>
      </c>
      <c r="C381" s="74" t="s">
        <v>284</v>
      </c>
      <c r="D381" s="74" t="s">
        <v>285</v>
      </c>
      <c r="E381" s="75" t="s">
        <v>279</v>
      </c>
      <c r="F381" s="76">
        <v>42134</v>
      </c>
      <c r="G381" s="76" t="s">
        <v>310</v>
      </c>
      <c r="H381" s="76" t="s">
        <v>315</v>
      </c>
      <c r="I381" s="74">
        <v>300</v>
      </c>
      <c r="J381" s="74">
        <v>6789</v>
      </c>
      <c r="K381" s="74">
        <v>3066</v>
      </c>
      <c r="L381" s="74">
        <v>3723</v>
      </c>
    </row>
    <row r="382" spans="1:12" x14ac:dyDescent="0.35">
      <c r="A382" s="74" t="s">
        <v>298</v>
      </c>
      <c r="B382" s="74" t="s">
        <v>126</v>
      </c>
      <c r="C382" s="74" t="s">
        <v>329</v>
      </c>
      <c r="D382" s="74" t="s">
        <v>330</v>
      </c>
      <c r="E382" s="75" t="s">
        <v>286</v>
      </c>
      <c r="F382" s="76">
        <v>42135</v>
      </c>
      <c r="G382" s="76" t="s">
        <v>318</v>
      </c>
      <c r="H382" s="76" t="s">
        <v>331</v>
      </c>
      <c r="I382" s="74">
        <v>300</v>
      </c>
      <c r="J382" s="74">
        <v>7245</v>
      </c>
      <c r="K382" s="74">
        <v>2952</v>
      </c>
      <c r="L382" s="74">
        <v>4293</v>
      </c>
    </row>
    <row r="383" spans="1:12" x14ac:dyDescent="0.35">
      <c r="A383" s="74" t="s">
        <v>289</v>
      </c>
      <c r="B383" s="74" t="s">
        <v>126</v>
      </c>
      <c r="C383" s="74" t="s">
        <v>290</v>
      </c>
      <c r="D383" s="74" t="s">
        <v>291</v>
      </c>
      <c r="E383" s="75" t="s">
        <v>279</v>
      </c>
      <c r="F383" s="76">
        <v>42136</v>
      </c>
      <c r="G383" s="76" t="s">
        <v>301</v>
      </c>
      <c r="H383" s="76" t="s">
        <v>323</v>
      </c>
      <c r="I383" s="74">
        <v>500</v>
      </c>
      <c r="J383" s="74">
        <v>11000</v>
      </c>
      <c r="K383" s="74">
        <v>5110</v>
      </c>
      <c r="L383" s="74">
        <v>5890</v>
      </c>
    </row>
    <row r="384" spans="1:12" x14ac:dyDescent="0.35">
      <c r="A384" s="74" t="s">
        <v>298</v>
      </c>
      <c r="B384" s="74" t="s">
        <v>126</v>
      </c>
      <c r="C384" s="74" t="s">
        <v>329</v>
      </c>
      <c r="D384" s="74" t="s">
        <v>330</v>
      </c>
      <c r="E384" s="75" t="s">
        <v>303</v>
      </c>
      <c r="F384" s="76">
        <v>42137</v>
      </c>
      <c r="G384" s="76" t="s">
        <v>280</v>
      </c>
      <c r="H384" s="76" t="s">
        <v>331</v>
      </c>
      <c r="I384" s="74">
        <v>500</v>
      </c>
      <c r="J384" s="74">
        <v>9155</v>
      </c>
      <c r="K384" s="74">
        <v>4235</v>
      </c>
      <c r="L384" s="74">
        <v>4920</v>
      </c>
    </row>
    <row r="385" spans="1:12" x14ac:dyDescent="0.35">
      <c r="A385" s="74" t="s">
        <v>275</v>
      </c>
      <c r="B385" s="74" t="s">
        <v>276</v>
      </c>
      <c r="C385" s="74" t="s">
        <v>277</v>
      </c>
      <c r="D385" s="74" t="s">
        <v>278</v>
      </c>
      <c r="E385" s="75" t="s">
        <v>286</v>
      </c>
      <c r="F385" s="76">
        <v>42137</v>
      </c>
      <c r="G385" s="76" t="s">
        <v>280</v>
      </c>
      <c r="H385" s="76" t="s">
        <v>304</v>
      </c>
      <c r="I385" s="74">
        <v>400</v>
      </c>
      <c r="J385" s="74">
        <v>9760</v>
      </c>
      <c r="K385" s="74">
        <v>3936</v>
      </c>
      <c r="L385" s="74">
        <v>5824</v>
      </c>
    </row>
    <row r="386" spans="1:12" x14ac:dyDescent="0.35">
      <c r="A386" s="74" t="s">
        <v>275</v>
      </c>
      <c r="B386" s="74" t="s">
        <v>276</v>
      </c>
      <c r="C386" s="74" t="s">
        <v>277</v>
      </c>
      <c r="D386" s="74" t="s">
        <v>278</v>
      </c>
      <c r="E386" s="75" t="s">
        <v>279</v>
      </c>
      <c r="F386" s="76">
        <v>42139</v>
      </c>
      <c r="G386" s="76" t="s">
        <v>308</v>
      </c>
      <c r="H386" s="76" t="s">
        <v>281</v>
      </c>
      <c r="I386" s="74">
        <v>400</v>
      </c>
      <c r="J386" s="74">
        <v>9156</v>
      </c>
      <c r="K386" s="74">
        <v>4088</v>
      </c>
      <c r="L386" s="74">
        <v>5068</v>
      </c>
    </row>
    <row r="387" spans="1:12" x14ac:dyDescent="0.35">
      <c r="A387" s="74" t="s">
        <v>275</v>
      </c>
      <c r="B387" s="74" t="s">
        <v>283</v>
      </c>
      <c r="C387" s="74" t="s">
        <v>284</v>
      </c>
      <c r="D387" s="74" t="s">
        <v>285</v>
      </c>
      <c r="E387" s="75" t="s">
        <v>279</v>
      </c>
      <c r="F387" s="76">
        <v>42142</v>
      </c>
      <c r="G387" s="76" t="s">
        <v>318</v>
      </c>
      <c r="H387" s="76" t="s">
        <v>319</v>
      </c>
      <c r="I387" s="74">
        <v>500</v>
      </c>
      <c r="J387" s="74">
        <v>10385</v>
      </c>
      <c r="K387" s="74">
        <v>5110</v>
      </c>
      <c r="L387" s="74">
        <v>5275</v>
      </c>
    </row>
    <row r="388" spans="1:12" x14ac:dyDescent="0.35">
      <c r="A388" s="74" t="s">
        <v>282</v>
      </c>
      <c r="B388" s="74" t="s">
        <v>283</v>
      </c>
      <c r="C388" s="74" t="s">
        <v>284</v>
      </c>
      <c r="D388" s="74" t="s">
        <v>285</v>
      </c>
      <c r="E388" s="75" t="s">
        <v>286</v>
      </c>
      <c r="F388" s="76">
        <v>42144</v>
      </c>
      <c r="G388" s="76" t="s">
        <v>280</v>
      </c>
      <c r="H388" s="76" t="s">
        <v>288</v>
      </c>
      <c r="I388" s="74">
        <v>700</v>
      </c>
      <c r="J388" s="74">
        <v>14203</v>
      </c>
      <c r="K388" s="74">
        <v>6888</v>
      </c>
      <c r="L388" s="74">
        <v>7315</v>
      </c>
    </row>
    <row r="389" spans="1:12" x14ac:dyDescent="0.35">
      <c r="A389" s="74" t="s">
        <v>298</v>
      </c>
      <c r="B389" s="74" t="s">
        <v>283</v>
      </c>
      <c r="C389" s="74" t="s">
        <v>284</v>
      </c>
      <c r="D389" s="74" t="s">
        <v>285</v>
      </c>
      <c r="E389" s="75" t="s">
        <v>279</v>
      </c>
      <c r="F389" s="76">
        <v>42145</v>
      </c>
      <c r="G389" s="76" t="s">
        <v>287</v>
      </c>
      <c r="H389" s="76" t="s">
        <v>315</v>
      </c>
      <c r="I389" s="74">
        <v>600</v>
      </c>
      <c r="J389" s="74">
        <v>14634</v>
      </c>
      <c r="K389" s="74">
        <v>6132</v>
      </c>
      <c r="L389" s="74">
        <v>8502</v>
      </c>
    </row>
    <row r="390" spans="1:12" x14ac:dyDescent="0.35">
      <c r="A390" s="74" t="s">
        <v>289</v>
      </c>
      <c r="B390" s="74" t="s">
        <v>126</v>
      </c>
      <c r="C390" s="74" t="s">
        <v>290</v>
      </c>
      <c r="D390" s="74" t="s">
        <v>291</v>
      </c>
      <c r="E390" s="75" t="s">
        <v>279</v>
      </c>
      <c r="F390" s="76">
        <v>42146</v>
      </c>
      <c r="G390" s="76" t="s">
        <v>308</v>
      </c>
      <c r="H390" s="76" t="s">
        <v>323</v>
      </c>
      <c r="I390" s="74">
        <v>100</v>
      </c>
      <c r="J390" s="74">
        <v>2149</v>
      </c>
      <c r="K390" s="74">
        <v>1022</v>
      </c>
      <c r="L390" s="74">
        <v>1127</v>
      </c>
    </row>
    <row r="391" spans="1:12" x14ac:dyDescent="0.35">
      <c r="A391" s="74" t="s">
        <v>298</v>
      </c>
      <c r="B391" s="74" t="s">
        <v>128</v>
      </c>
      <c r="C391" s="74" t="s">
        <v>299</v>
      </c>
      <c r="D391" s="74" t="s">
        <v>300</v>
      </c>
      <c r="E391" s="75" t="s">
        <v>303</v>
      </c>
      <c r="F391" s="76">
        <v>42146</v>
      </c>
      <c r="G391" s="76" t="s">
        <v>308</v>
      </c>
      <c r="H391" s="76" t="s">
        <v>302</v>
      </c>
      <c r="I391" s="74">
        <v>700</v>
      </c>
      <c r="J391" s="74">
        <v>13853</v>
      </c>
      <c r="K391" s="74">
        <v>5929</v>
      </c>
      <c r="L391" s="74">
        <v>7924</v>
      </c>
    </row>
    <row r="392" spans="1:12" x14ac:dyDescent="0.35">
      <c r="A392" s="74" t="s">
        <v>275</v>
      </c>
      <c r="B392" s="74" t="s">
        <v>276</v>
      </c>
      <c r="C392" s="74" t="s">
        <v>277</v>
      </c>
      <c r="D392" s="74" t="s">
        <v>278</v>
      </c>
      <c r="E392" s="75" t="s">
        <v>286</v>
      </c>
      <c r="F392" s="76">
        <v>42147</v>
      </c>
      <c r="G392" s="76" t="s">
        <v>292</v>
      </c>
      <c r="H392" s="76" t="s">
        <v>281</v>
      </c>
      <c r="I392" s="74">
        <v>200</v>
      </c>
      <c r="J392" s="74">
        <v>4474</v>
      </c>
      <c r="K392" s="74">
        <v>1968</v>
      </c>
      <c r="L392" s="74">
        <v>2506</v>
      </c>
    </row>
    <row r="393" spans="1:12" x14ac:dyDescent="0.35">
      <c r="A393" s="74" t="s">
        <v>275</v>
      </c>
      <c r="B393" s="74" t="s">
        <v>276</v>
      </c>
      <c r="C393" s="74" t="s">
        <v>277</v>
      </c>
      <c r="D393" s="74" t="s">
        <v>278</v>
      </c>
      <c r="E393" s="75" t="s">
        <v>279</v>
      </c>
      <c r="F393" s="76">
        <v>42147</v>
      </c>
      <c r="G393" s="76" t="s">
        <v>292</v>
      </c>
      <c r="H393" s="76" t="s">
        <v>281</v>
      </c>
      <c r="I393" s="74">
        <v>100</v>
      </c>
      <c r="J393" s="74">
        <v>2487</v>
      </c>
      <c r="K393" s="74">
        <v>1022</v>
      </c>
      <c r="L393" s="74">
        <v>1465</v>
      </c>
    </row>
    <row r="394" spans="1:12" x14ac:dyDescent="0.35">
      <c r="A394" s="74" t="s">
        <v>289</v>
      </c>
      <c r="B394" s="74" t="s">
        <v>126</v>
      </c>
      <c r="C394" s="74" t="s">
        <v>290</v>
      </c>
      <c r="D394" s="74" t="s">
        <v>291</v>
      </c>
      <c r="E394" s="75" t="s">
        <v>279</v>
      </c>
      <c r="F394" s="76">
        <v>42148</v>
      </c>
      <c r="G394" s="76" t="s">
        <v>310</v>
      </c>
      <c r="H394" s="76" t="s">
        <v>323</v>
      </c>
      <c r="I394" s="74">
        <v>200</v>
      </c>
      <c r="J394" s="74">
        <v>4388</v>
      </c>
      <c r="K394" s="74">
        <v>2044</v>
      </c>
      <c r="L394" s="74">
        <v>2344</v>
      </c>
    </row>
    <row r="395" spans="1:12" x14ac:dyDescent="0.35">
      <c r="A395" s="74" t="s">
        <v>275</v>
      </c>
      <c r="B395" s="74" t="s">
        <v>283</v>
      </c>
      <c r="C395" s="74" t="s">
        <v>284</v>
      </c>
      <c r="D395" s="74" t="s">
        <v>285</v>
      </c>
      <c r="E395" s="75" t="s">
        <v>286</v>
      </c>
      <c r="F395" s="76">
        <v>42149</v>
      </c>
      <c r="G395" s="76" t="s">
        <v>318</v>
      </c>
      <c r="H395" s="76" t="s">
        <v>319</v>
      </c>
      <c r="I395" s="74">
        <v>300</v>
      </c>
      <c r="J395" s="74">
        <v>5094</v>
      </c>
      <c r="K395" s="74">
        <v>2541</v>
      </c>
      <c r="L395" s="74">
        <v>2553</v>
      </c>
    </row>
    <row r="396" spans="1:12" x14ac:dyDescent="0.35">
      <c r="A396" s="74" t="s">
        <v>275</v>
      </c>
      <c r="B396" s="74" t="s">
        <v>276</v>
      </c>
      <c r="C396" s="74" t="s">
        <v>277</v>
      </c>
      <c r="D396" s="74" t="s">
        <v>278</v>
      </c>
      <c r="E396" s="75" t="s">
        <v>303</v>
      </c>
      <c r="F396" s="76">
        <v>42152</v>
      </c>
      <c r="G396" s="76" t="s">
        <v>287</v>
      </c>
      <c r="H396" s="76" t="s">
        <v>304</v>
      </c>
      <c r="I396" s="74">
        <v>200</v>
      </c>
      <c r="J396" s="74">
        <v>3632</v>
      </c>
      <c r="K396" s="74">
        <v>1694</v>
      </c>
      <c r="L396" s="74">
        <v>1938</v>
      </c>
    </row>
    <row r="397" spans="1:12" x14ac:dyDescent="0.35">
      <c r="A397" s="74" t="s">
        <v>275</v>
      </c>
      <c r="B397" s="74" t="s">
        <v>276</v>
      </c>
      <c r="C397" s="74" t="s">
        <v>277</v>
      </c>
      <c r="D397" s="74" t="s">
        <v>278</v>
      </c>
      <c r="E397" s="75" t="s">
        <v>286</v>
      </c>
      <c r="F397" s="76">
        <v>42152</v>
      </c>
      <c r="G397" s="76" t="s">
        <v>287</v>
      </c>
      <c r="H397" s="76" t="s">
        <v>281</v>
      </c>
      <c r="I397" s="74">
        <v>800</v>
      </c>
      <c r="J397" s="74">
        <v>16264</v>
      </c>
      <c r="K397" s="74">
        <v>7872</v>
      </c>
      <c r="L397" s="74">
        <v>8392</v>
      </c>
    </row>
    <row r="398" spans="1:12" x14ac:dyDescent="0.35">
      <c r="A398" s="74" t="s">
        <v>275</v>
      </c>
      <c r="B398" s="74" t="s">
        <v>276</v>
      </c>
      <c r="C398" s="74" t="s">
        <v>277</v>
      </c>
      <c r="D398" s="74" t="s">
        <v>278</v>
      </c>
      <c r="E398" s="75" t="s">
        <v>286</v>
      </c>
      <c r="F398" s="76">
        <v>42154</v>
      </c>
      <c r="G398" s="76" t="s">
        <v>292</v>
      </c>
      <c r="H398" s="76" t="s">
        <v>304</v>
      </c>
      <c r="I398" s="74">
        <v>700</v>
      </c>
      <c r="J398" s="74">
        <v>16408</v>
      </c>
      <c r="K398" s="74">
        <v>6888</v>
      </c>
      <c r="L398" s="74">
        <v>9520</v>
      </c>
    </row>
    <row r="399" spans="1:12" x14ac:dyDescent="0.35">
      <c r="A399" s="74" t="s">
        <v>275</v>
      </c>
      <c r="B399" s="74" t="s">
        <v>276</v>
      </c>
      <c r="C399" s="74" t="s">
        <v>277</v>
      </c>
      <c r="D399" s="74" t="s">
        <v>278</v>
      </c>
      <c r="E399" s="75" t="s">
        <v>279</v>
      </c>
      <c r="F399" s="76">
        <v>42154</v>
      </c>
      <c r="G399" s="76" t="s">
        <v>292</v>
      </c>
      <c r="H399" s="76" t="s">
        <v>281</v>
      </c>
      <c r="I399" s="74">
        <v>500</v>
      </c>
      <c r="J399" s="74">
        <v>12550</v>
      </c>
      <c r="K399" s="74">
        <v>5110</v>
      </c>
      <c r="L399" s="74">
        <v>7440</v>
      </c>
    </row>
    <row r="400" spans="1:12" x14ac:dyDescent="0.35">
      <c r="A400" s="74" t="s">
        <v>282</v>
      </c>
      <c r="B400" s="74" t="s">
        <v>126</v>
      </c>
      <c r="C400" s="74" t="s">
        <v>312</v>
      </c>
      <c r="D400" s="74" t="s">
        <v>313</v>
      </c>
      <c r="E400" s="75" t="s">
        <v>286</v>
      </c>
      <c r="F400" s="76">
        <v>42155</v>
      </c>
      <c r="G400" s="76" t="s">
        <v>310</v>
      </c>
      <c r="H400" s="76" t="s">
        <v>314</v>
      </c>
      <c r="I400" s="74">
        <v>800</v>
      </c>
      <c r="J400" s="74">
        <v>17056</v>
      </c>
      <c r="K400" s="74">
        <v>7872</v>
      </c>
      <c r="L400" s="74">
        <v>9184</v>
      </c>
    </row>
    <row r="401" spans="1:12" x14ac:dyDescent="0.35">
      <c r="A401" s="74" t="s">
        <v>305</v>
      </c>
      <c r="B401" s="74" t="s">
        <v>126</v>
      </c>
      <c r="C401" s="74" t="s">
        <v>306</v>
      </c>
      <c r="D401" s="74" t="s">
        <v>307</v>
      </c>
      <c r="E401" s="75" t="s">
        <v>279</v>
      </c>
      <c r="F401" s="76">
        <v>42155</v>
      </c>
      <c r="G401" s="76" t="s">
        <v>310</v>
      </c>
      <c r="H401" s="76" t="s">
        <v>309</v>
      </c>
      <c r="I401" s="74">
        <v>800</v>
      </c>
      <c r="J401" s="74">
        <v>19152</v>
      </c>
      <c r="K401" s="74">
        <v>8176</v>
      </c>
      <c r="L401" s="74">
        <v>10976</v>
      </c>
    </row>
    <row r="402" spans="1:12" x14ac:dyDescent="0.35">
      <c r="A402" s="74" t="s">
        <v>298</v>
      </c>
      <c r="B402" s="74" t="s">
        <v>126</v>
      </c>
      <c r="C402" s="74" t="s">
        <v>329</v>
      </c>
      <c r="D402" s="74" t="s">
        <v>330</v>
      </c>
      <c r="E402" s="75" t="s">
        <v>279</v>
      </c>
      <c r="F402" s="76">
        <v>42158</v>
      </c>
      <c r="G402" s="76" t="s">
        <v>280</v>
      </c>
      <c r="H402" s="76" t="s">
        <v>331</v>
      </c>
      <c r="I402" s="74">
        <v>1000</v>
      </c>
      <c r="J402" s="74">
        <v>23990</v>
      </c>
      <c r="K402" s="74">
        <v>10220</v>
      </c>
      <c r="L402" s="74">
        <v>13770</v>
      </c>
    </row>
    <row r="403" spans="1:12" x14ac:dyDescent="0.35">
      <c r="A403" s="74" t="s">
        <v>298</v>
      </c>
      <c r="B403" s="74" t="s">
        <v>283</v>
      </c>
      <c r="C403" s="74" t="s">
        <v>284</v>
      </c>
      <c r="D403" s="74" t="s">
        <v>285</v>
      </c>
      <c r="E403" s="75" t="s">
        <v>279</v>
      </c>
      <c r="F403" s="76">
        <v>42159</v>
      </c>
      <c r="G403" s="76" t="s">
        <v>287</v>
      </c>
      <c r="H403" s="76" t="s">
        <v>315</v>
      </c>
      <c r="I403" s="74">
        <v>1000</v>
      </c>
      <c r="J403" s="74">
        <v>22020</v>
      </c>
      <c r="K403" s="74">
        <v>10220</v>
      </c>
      <c r="L403" s="74">
        <v>11800</v>
      </c>
    </row>
    <row r="404" spans="1:12" x14ac:dyDescent="0.35">
      <c r="A404" s="74" t="s">
        <v>305</v>
      </c>
      <c r="B404" s="74" t="s">
        <v>128</v>
      </c>
      <c r="C404" s="74" t="s">
        <v>342</v>
      </c>
      <c r="D404" s="74" t="s">
        <v>343</v>
      </c>
      <c r="E404" s="75" t="s">
        <v>279</v>
      </c>
      <c r="F404" s="76">
        <v>42162</v>
      </c>
      <c r="G404" s="76" t="s">
        <v>310</v>
      </c>
      <c r="H404" s="76" t="s">
        <v>344</v>
      </c>
      <c r="I404" s="74">
        <v>400</v>
      </c>
      <c r="J404" s="74">
        <v>9064</v>
      </c>
      <c r="K404" s="74">
        <v>4088</v>
      </c>
      <c r="L404" s="74">
        <v>4976</v>
      </c>
    </row>
    <row r="405" spans="1:12" x14ac:dyDescent="0.35">
      <c r="A405" s="74" t="s">
        <v>298</v>
      </c>
      <c r="B405" s="74" t="s">
        <v>283</v>
      </c>
      <c r="C405" s="74" t="s">
        <v>284</v>
      </c>
      <c r="D405" s="74" t="s">
        <v>285</v>
      </c>
      <c r="E405" s="75" t="s">
        <v>303</v>
      </c>
      <c r="F405" s="76">
        <v>42163</v>
      </c>
      <c r="G405" s="76" t="s">
        <v>318</v>
      </c>
      <c r="H405" s="76" t="s">
        <v>315</v>
      </c>
      <c r="I405" s="74">
        <v>900</v>
      </c>
      <c r="J405" s="74">
        <v>18072</v>
      </c>
      <c r="K405" s="74">
        <v>7623</v>
      </c>
      <c r="L405" s="74">
        <v>10449</v>
      </c>
    </row>
    <row r="406" spans="1:12" x14ac:dyDescent="0.35">
      <c r="A406" s="74" t="s">
        <v>282</v>
      </c>
      <c r="B406" s="74" t="s">
        <v>126</v>
      </c>
      <c r="C406" s="74" t="s">
        <v>312</v>
      </c>
      <c r="D406" s="74" t="s">
        <v>313</v>
      </c>
      <c r="E406" s="75" t="s">
        <v>303</v>
      </c>
      <c r="F406" s="76">
        <v>42164</v>
      </c>
      <c r="G406" s="76" t="s">
        <v>301</v>
      </c>
      <c r="H406" s="76" t="s">
        <v>314</v>
      </c>
      <c r="I406" s="74">
        <v>800</v>
      </c>
      <c r="J406" s="74">
        <v>16288</v>
      </c>
      <c r="K406" s="74">
        <v>6776</v>
      </c>
      <c r="L406" s="74">
        <v>9512</v>
      </c>
    </row>
    <row r="407" spans="1:12" x14ac:dyDescent="0.35">
      <c r="A407" s="74" t="s">
        <v>275</v>
      </c>
      <c r="B407" s="74" t="s">
        <v>283</v>
      </c>
      <c r="C407" s="74" t="s">
        <v>284</v>
      </c>
      <c r="D407" s="74" t="s">
        <v>285</v>
      </c>
      <c r="E407" s="75" t="s">
        <v>286</v>
      </c>
      <c r="F407" s="76">
        <v>42166</v>
      </c>
      <c r="G407" s="76" t="s">
        <v>287</v>
      </c>
      <c r="H407" s="76" t="s">
        <v>311</v>
      </c>
      <c r="I407" s="74">
        <v>800</v>
      </c>
      <c r="J407" s="74">
        <v>17944</v>
      </c>
      <c r="K407" s="74">
        <v>7872</v>
      </c>
      <c r="L407" s="74">
        <v>10072</v>
      </c>
    </row>
    <row r="408" spans="1:12" x14ac:dyDescent="0.35">
      <c r="A408" s="74" t="s">
        <v>305</v>
      </c>
      <c r="B408" s="74" t="s">
        <v>126</v>
      </c>
      <c r="C408" s="74" t="s">
        <v>306</v>
      </c>
      <c r="D408" s="74" t="s">
        <v>307</v>
      </c>
      <c r="E408" s="75" t="s">
        <v>286</v>
      </c>
      <c r="F408" s="76">
        <v>42167</v>
      </c>
      <c r="G408" s="76" t="s">
        <v>308</v>
      </c>
      <c r="H408" s="76" t="s">
        <v>309</v>
      </c>
      <c r="I408" s="74">
        <v>300</v>
      </c>
      <c r="J408" s="74">
        <v>6477</v>
      </c>
      <c r="K408" s="74">
        <v>2952</v>
      </c>
      <c r="L408" s="74">
        <v>3525</v>
      </c>
    </row>
    <row r="409" spans="1:12" x14ac:dyDescent="0.35">
      <c r="A409" s="74" t="s">
        <v>289</v>
      </c>
      <c r="B409" s="74" t="s">
        <v>126</v>
      </c>
      <c r="C409" s="74" t="s">
        <v>290</v>
      </c>
      <c r="D409" s="74" t="s">
        <v>291</v>
      </c>
      <c r="E409" s="75" t="s">
        <v>303</v>
      </c>
      <c r="F409" s="76">
        <v>42168</v>
      </c>
      <c r="G409" s="76" t="s">
        <v>292</v>
      </c>
      <c r="H409" s="76" t="s">
        <v>323</v>
      </c>
      <c r="I409" s="74">
        <v>600</v>
      </c>
      <c r="J409" s="74">
        <v>10404</v>
      </c>
      <c r="K409" s="74">
        <v>5082</v>
      </c>
      <c r="L409" s="74">
        <v>5322</v>
      </c>
    </row>
    <row r="410" spans="1:12" x14ac:dyDescent="0.35">
      <c r="A410" s="74" t="s">
        <v>275</v>
      </c>
      <c r="B410" s="74" t="s">
        <v>283</v>
      </c>
      <c r="C410" s="74" t="s">
        <v>284</v>
      </c>
      <c r="D410" s="74" t="s">
        <v>285</v>
      </c>
      <c r="E410" s="75" t="s">
        <v>303</v>
      </c>
      <c r="F410" s="76">
        <v>42169</v>
      </c>
      <c r="G410" s="76" t="s">
        <v>310</v>
      </c>
      <c r="H410" s="76" t="s">
        <v>311</v>
      </c>
      <c r="I410" s="74">
        <v>500</v>
      </c>
      <c r="J410" s="74">
        <v>8780</v>
      </c>
      <c r="K410" s="74">
        <v>4235</v>
      </c>
      <c r="L410" s="74">
        <v>4545</v>
      </c>
    </row>
    <row r="411" spans="1:12" x14ac:dyDescent="0.35">
      <c r="A411" s="74" t="s">
        <v>275</v>
      </c>
      <c r="B411" s="74" t="s">
        <v>283</v>
      </c>
      <c r="C411" s="74" t="s">
        <v>284</v>
      </c>
      <c r="D411" s="74" t="s">
        <v>285</v>
      </c>
      <c r="E411" s="75" t="s">
        <v>286</v>
      </c>
      <c r="F411" s="76">
        <v>42173</v>
      </c>
      <c r="G411" s="76" t="s">
        <v>287</v>
      </c>
      <c r="H411" s="76" t="s">
        <v>319</v>
      </c>
      <c r="I411" s="74">
        <v>700</v>
      </c>
      <c r="J411" s="74">
        <v>13874</v>
      </c>
      <c r="K411" s="74">
        <v>5929</v>
      </c>
      <c r="L411" s="74">
        <v>7945</v>
      </c>
    </row>
    <row r="412" spans="1:12" x14ac:dyDescent="0.35">
      <c r="A412" s="74" t="s">
        <v>282</v>
      </c>
      <c r="B412" s="74" t="s">
        <v>283</v>
      </c>
      <c r="C412" s="74" t="s">
        <v>284</v>
      </c>
      <c r="D412" s="74" t="s">
        <v>285</v>
      </c>
      <c r="E412" s="75" t="s">
        <v>279</v>
      </c>
      <c r="F412" s="76">
        <v>42176</v>
      </c>
      <c r="G412" s="76" t="s">
        <v>310</v>
      </c>
      <c r="H412" s="76" t="s">
        <v>288</v>
      </c>
      <c r="I412" s="74">
        <v>700</v>
      </c>
      <c r="J412" s="74">
        <v>15988</v>
      </c>
      <c r="K412" s="74">
        <v>7154</v>
      </c>
      <c r="L412" s="74">
        <v>8834</v>
      </c>
    </row>
    <row r="413" spans="1:12" x14ac:dyDescent="0.35">
      <c r="A413" s="74" t="s">
        <v>282</v>
      </c>
      <c r="B413" s="74" t="s">
        <v>126</v>
      </c>
      <c r="C413" s="74" t="s">
        <v>312</v>
      </c>
      <c r="D413" s="74" t="s">
        <v>313</v>
      </c>
      <c r="E413" s="75" t="s">
        <v>286</v>
      </c>
      <c r="F413" s="76">
        <v>42179</v>
      </c>
      <c r="G413" s="76" t="s">
        <v>280</v>
      </c>
      <c r="H413" s="76" t="s">
        <v>314</v>
      </c>
      <c r="I413" s="74">
        <v>1000</v>
      </c>
      <c r="J413" s="74">
        <v>20020</v>
      </c>
      <c r="K413" s="74">
        <v>9840</v>
      </c>
      <c r="L413" s="74">
        <v>10180</v>
      </c>
    </row>
    <row r="414" spans="1:12" x14ac:dyDescent="0.35">
      <c r="A414" s="74" t="s">
        <v>298</v>
      </c>
      <c r="B414" s="74" t="s">
        <v>283</v>
      </c>
      <c r="C414" s="74" t="s">
        <v>284</v>
      </c>
      <c r="D414" s="74" t="s">
        <v>285</v>
      </c>
      <c r="E414" s="75" t="s">
        <v>286</v>
      </c>
      <c r="F414" s="76">
        <v>42180</v>
      </c>
      <c r="G414" s="76" t="s">
        <v>287</v>
      </c>
      <c r="H414" s="76" t="s">
        <v>341</v>
      </c>
      <c r="I414" s="74">
        <v>200</v>
      </c>
      <c r="J414" s="74">
        <v>4060</v>
      </c>
      <c r="K414" s="74">
        <v>1968</v>
      </c>
      <c r="L414" s="74">
        <v>2092</v>
      </c>
    </row>
    <row r="415" spans="1:12" x14ac:dyDescent="0.35">
      <c r="A415" s="74" t="s">
        <v>275</v>
      </c>
      <c r="B415" s="74" t="s">
        <v>283</v>
      </c>
      <c r="C415" s="74" t="s">
        <v>284</v>
      </c>
      <c r="D415" s="74" t="s">
        <v>285</v>
      </c>
      <c r="E415" s="75" t="s">
        <v>286</v>
      </c>
      <c r="F415" s="76">
        <v>42181</v>
      </c>
      <c r="G415" s="76" t="s">
        <v>308</v>
      </c>
      <c r="H415" s="76" t="s">
        <v>319</v>
      </c>
      <c r="I415" s="74">
        <v>800</v>
      </c>
      <c r="J415" s="74">
        <v>15400</v>
      </c>
      <c r="K415" s="74">
        <v>6776</v>
      </c>
      <c r="L415" s="74">
        <v>8624</v>
      </c>
    </row>
    <row r="416" spans="1:12" x14ac:dyDescent="0.35">
      <c r="A416" s="74" t="s">
        <v>275</v>
      </c>
      <c r="B416" s="74" t="s">
        <v>276</v>
      </c>
      <c r="C416" s="74" t="s">
        <v>277</v>
      </c>
      <c r="D416" s="74" t="s">
        <v>278</v>
      </c>
      <c r="E416" s="75" t="s">
        <v>286</v>
      </c>
      <c r="F416" s="76">
        <v>42181</v>
      </c>
      <c r="G416" s="76" t="s">
        <v>308</v>
      </c>
      <c r="H416" s="76" t="s">
        <v>281</v>
      </c>
      <c r="I416" s="74">
        <v>700</v>
      </c>
      <c r="J416" s="74">
        <v>16219</v>
      </c>
      <c r="K416" s="74">
        <v>6888</v>
      </c>
      <c r="L416" s="74">
        <v>9331</v>
      </c>
    </row>
    <row r="417" spans="1:12" x14ac:dyDescent="0.35">
      <c r="A417" s="74" t="s">
        <v>289</v>
      </c>
      <c r="B417" s="74" t="s">
        <v>126</v>
      </c>
      <c r="C417" s="74" t="s">
        <v>290</v>
      </c>
      <c r="D417" s="74" t="s">
        <v>291</v>
      </c>
      <c r="E417" s="75" t="s">
        <v>279</v>
      </c>
      <c r="F417" s="76">
        <v>42182</v>
      </c>
      <c r="G417" s="76" t="s">
        <v>292</v>
      </c>
      <c r="H417" s="76" t="s">
        <v>323</v>
      </c>
      <c r="I417" s="74">
        <v>400</v>
      </c>
      <c r="J417" s="74">
        <v>8804</v>
      </c>
      <c r="K417" s="74">
        <v>4088</v>
      </c>
      <c r="L417" s="74">
        <v>4716</v>
      </c>
    </row>
    <row r="418" spans="1:12" x14ac:dyDescent="0.35">
      <c r="A418" s="74" t="s">
        <v>289</v>
      </c>
      <c r="B418" s="74" t="s">
        <v>126</v>
      </c>
      <c r="C418" s="74" t="s">
        <v>290</v>
      </c>
      <c r="D418" s="74" t="s">
        <v>291</v>
      </c>
      <c r="E418" s="75" t="s">
        <v>279</v>
      </c>
      <c r="F418" s="76">
        <v>42185</v>
      </c>
      <c r="G418" s="76" t="s">
        <v>301</v>
      </c>
      <c r="H418" s="76" t="s">
        <v>323</v>
      </c>
      <c r="I418" s="74">
        <v>500</v>
      </c>
      <c r="J418" s="74">
        <v>12425</v>
      </c>
      <c r="K418" s="74">
        <v>5110</v>
      </c>
      <c r="L418" s="74">
        <v>7315</v>
      </c>
    </row>
    <row r="419" spans="1:12" x14ac:dyDescent="0.35">
      <c r="A419" s="74" t="s">
        <v>282</v>
      </c>
      <c r="B419" s="74" t="s">
        <v>283</v>
      </c>
      <c r="C419" s="74" t="s">
        <v>284</v>
      </c>
      <c r="D419" s="74" t="s">
        <v>285</v>
      </c>
      <c r="E419" s="75" t="s">
        <v>286</v>
      </c>
      <c r="F419" s="76">
        <v>42186</v>
      </c>
      <c r="G419" s="76" t="s">
        <v>280</v>
      </c>
      <c r="H419" s="76" t="s">
        <v>288</v>
      </c>
      <c r="I419" s="74">
        <v>100</v>
      </c>
      <c r="J419" s="74">
        <v>2054</v>
      </c>
      <c r="K419" s="74">
        <v>984</v>
      </c>
      <c r="L419" s="74">
        <v>1070</v>
      </c>
    </row>
    <row r="420" spans="1:12" x14ac:dyDescent="0.35">
      <c r="A420" s="74" t="s">
        <v>275</v>
      </c>
      <c r="B420" s="74" t="s">
        <v>283</v>
      </c>
      <c r="C420" s="74" t="s">
        <v>284</v>
      </c>
      <c r="D420" s="74" t="s">
        <v>285</v>
      </c>
      <c r="E420" s="75" t="s">
        <v>279</v>
      </c>
      <c r="F420" s="76">
        <v>42187</v>
      </c>
      <c r="G420" s="76" t="s">
        <v>287</v>
      </c>
      <c r="H420" s="76" t="s">
        <v>311</v>
      </c>
      <c r="I420" s="74">
        <v>400</v>
      </c>
      <c r="J420" s="74">
        <v>9816</v>
      </c>
      <c r="K420" s="74">
        <v>4088</v>
      </c>
      <c r="L420" s="74">
        <v>5728</v>
      </c>
    </row>
    <row r="421" spans="1:12" x14ac:dyDescent="0.35">
      <c r="A421" s="74" t="s">
        <v>282</v>
      </c>
      <c r="B421" s="74" t="s">
        <v>126</v>
      </c>
      <c r="C421" s="74" t="s">
        <v>312</v>
      </c>
      <c r="D421" s="74" t="s">
        <v>313</v>
      </c>
      <c r="E421" s="75" t="s">
        <v>303</v>
      </c>
      <c r="F421" s="76">
        <v>42188</v>
      </c>
      <c r="G421" s="76" t="s">
        <v>308</v>
      </c>
      <c r="H421" s="76" t="s">
        <v>314</v>
      </c>
      <c r="I421" s="74">
        <v>200</v>
      </c>
      <c r="J421" s="74">
        <v>4192</v>
      </c>
      <c r="K421" s="74">
        <v>1694</v>
      </c>
      <c r="L421" s="74">
        <v>2498</v>
      </c>
    </row>
    <row r="422" spans="1:12" x14ac:dyDescent="0.35">
      <c r="A422" s="74" t="s">
        <v>305</v>
      </c>
      <c r="B422" s="74" t="s">
        <v>126</v>
      </c>
      <c r="C422" s="74" t="s">
        <v>306</v>
      </c>
      <c r="D422" s="74" t="s">
        <v>307</v>
      </c>
      <c r="E422" s="75" t="s">
        <v>286</v>
      </c>
      <c r="F422" s="76">
        <v>42188</v>
      </c>
      <c r="G422" s="76" t="s">
        <v>308</v>
      </c>
      <c r="H422" s="76" t="s">
        <v>309</v>
      </c>
      <c r="I422" s="74">
        <v>900</v>
      </c>
      <c r="J422" s="74">
        <v>18099</v>
      </c>
      <c r="K422" s="74">
        <v>8856</v>
      </c>
      <c r="L422" s="74">
        <v>9243</v>
      </c>
    </row>
    <row r="423" spans="1:12" x14ac:dyDescent="0.35">
      <c r="A423" s="74" t="s">
        <v>289</v>
      </c>
      <c r="B423" s="74" t="s">
        <v>126</v>
      </c>
      <c r="C423" s="74" t="s">
        <v>290</v>
      </c>
      <c r="D423" s="74" t="s">
        <v>291</v>
      </c>
      <c r="E423" s="75" t="s">
        <v>286</v>
      </c>
      <c r="F423" s="76">
        <v>42190</v>
      </c>
      <c r="G423" s="76" t="s">
        <v>310</v>
      </c>
      <c r="H423" s="76" t="s">
        <v>323</v>
      </c>
      <c r="I423" s="74">
        <v>700</v>
      </c>
      <c r="J423" s="74">
        <v>16303</v>
      </c>
      <c r="K423" s="74">
        <v>6888</v>
      </c>
      <c r="L423" s="74">
        <v>9415</v>
      </c>
    </row>
    <row r="424" spans="1:12" x14ac:dyDescent="0.35">
      <c r="A424" s="74" t="s">
        <v>305</v>
      </c>
      <c r="B424" s="74" t="s">
        <v>126</v>
      </c>
      <c r="C424" s="74" t="s">
        <v>306</v>
      </c>
      <c r="D424" s="74" t="s">
        <v>307</v>
      </c>
      <c r="E424" s="75" t="s">
        <v>279</v>
      </c>
      <c r="F424" s="76">
        <v>42192</v>
      </c>
      <c r="G424" s="76" t="s">
        <v>301</v>
      </c>
      <c r="H424" s="76" t="s">
        <v>309</v>
      </c>
      <c r="I424" s="74">
        <v>400</v>
      </c>
      <c r="J424" s="74">
        <v>8580</v>
      </c>
      <c r="K424" s="74">
        <v>4088</v>
      </c>
      <c r="L424" s="74">
        <v>4492</v>
      </c>
    </row>
    <row r="425" spans="1:12" x14ac:dyDescent="0.35">
      <c r="A425" s="74" t="s">
        <v>275</v>
      </c>
      <c r="B425" s="74" t="s">
        <v>276</v>
      </c>
      <c r="C425" s="74" t="s">
        <v>277</v>
      </c>
      <c r="D425" s="74" t="s">
        <v>278</v>
      </c>
      <c r="E425" s="75" t="s">
        <v>286</v>
      </c>
      <c r="F425" s="76">
        <v>42193</v>
      </c>
      <c r="G425" s="76" t="s">
        <v>280</v>
      </c>
      <c r="H425" s="76" t="s">
        <v>304</v>
      </c>
      <c r="I425" s="74">
        <v>500</v>
      </c>
      <c r="J425" s="74">
        <v>12270</v>
      </c>
      <c r="K425" s="74">
        <v>4920</v>
      </c>
      <c r="L425" s="74">
        <v>7350</v>
      </c>
    </row>
    <row r="426" spans="1:12" x14ac:dyDescent="0.35">
      <c r="A426" s="74" t="s">
        <v>305</v>
      </c>
      <c r="B426" s="74" t="s">
        <v>126</v>
      </c>
      <c r="C426" s="74" t="s">
        <v>306</v>
      </c>
      <c r="D426" s="74" t="s">
        <v>307</v>
      </c>
      <c r="E426" s="75" t="s">
        <v>303</v>
      </c>
      <c r="F426" s="76">
        <v>42196</v>
      </c>
      <c r="G426" s="76" t="s">
        <v>292</v>
      </c>
      <c r="H426" s="76" t="s">
        <v>309</v>
      </c>
      <c r="I426" s="74">
        <v>900</v>
      </c>
      <c r="J426" s="74">
        <v>17883</v>
      </c>
      <c r="K426" s="74">
        <v>7623</v>
      </c>
      <c r="L426" s="74">
        <v>10260</v>
      </c>
    </row>
    <row r="427" spans="1:12" x14ac:dyDescent="0.35">
      <c r="A427" s="74" t="s">
        <v>275</v>
      </c>
      <c r="B427" s="74" t="s">
        <v>283</v>
      </c>
      <c r="C427" s="74" t="s">
        <v>284</v>
      </c>
      <c r="D427" s="74" t="s">
        <v>285</v>
      </c>
      <c r="E427" s="75" t="s">
        <v>286</v>
      </c>
      <c r="F427" s="76">
        <v>42198</v>
      </c>
      <c r="G427" s="76" t="s">
        <v>318</v>
      </c>
      <c r="H427" s="76" t="s">
        <v>311</v>
      </c>
      <c r="I427" s="74">
        <v>500</v>
      </c>
      <c r="J427" s="74">
        <v>11725</v>
      </c>
      <c r="K427" s="74">
        <v>4920</v>
      </c>
      <c r="L427" s="74">
        <v>6805</v>
      </c>
    </row>
    <row r="428" spans="1:12" x14ac:dyDescent="0.35">
      <c r="A428" s="74" t="s">
        <v>275</v>
      </c>
      <c r="B428" s="74" t="s">
        <v>283</v>
      </c>
      <c r="C428" s="74" t="s">
        <v>284</v>
      </c>
      <c r="D428" s="74" t="s">
        <v>285</v>
      </c>
      <c r="E428" s="75" t="s">
        <v>279</v>
      </c>
      <c r="F428" s="76">
        <v>42199</v>
      </c>
      <c r="G428" s="76" t="s">
        <v>301</v>
      </c>
      <c r="H428" s="76" t="s">
        <v>311</v>
      </c>
      <c r="I428" s="74">
        <v>900</v>
      </c>
      <c r="J428" s="74">
        <v>21366</v>
      </c>
      <c r="K428" s="74">
        <v>9198</v>
      </c>
      <c r="L428" s="74">
        <v>12168</v>
      </c>
    </row>
    <row r="429" spans="1:12" x14ac:dyDescent="0.35">
      <c r="A429" s="74" t="s">
        <v>325</v>
      </c>
      <c r="B429" s="74" t="s">
        <v>276</v>
      </c>
      <c r="C429" s="74" t="s">
        <v>320</v>
      </c>
      <c r="D429" s="74" t="s">
        <v>321</v>
      </c>
      <c r="E429" s="75" t="s">
        <v>286</v>
      </c>
      <c r="F429" s="76">
        <v>42200</v>
      </c>
      <c r="G429" s="76" t="s">
        <v>280</v>
      </c>
      <c r="H429" s="76" t="s">
        <v>339</v>
      </c>
      <c r="I429" s="74">
        <v>700</v>
      </c>
      <c r="J429" s="74">
        <v>14497</v>
      </c>
      <c r="K429" s="74">
        <v>6888</v>
      </c>
      <c r="L429" s="74">
        <v>7609</v>
      </c>
    </row>
    <row r="430" spans="1:12" x14ac:dyDescent="0.35">
      <c r="A430" s="74" t="s">
        <v>275</v>
      </c>
      <c r="B430" s="74" t="s">
        <v>276</v>
      </c>
      <c r="C430" s="74" t="s">
        <v>277</v>
      </c>
      <c r="D430" s="74" t="s">
        <v>278</v>
      </c>
      <c r="E430" s="75" t="s">
        <v>286</v>
      </c>
      <c r="F430" s="76">
        <v>42201</v>
      </c>
      <c r="G430" s="76" t="s">
        <v>287</v>
      </c>
      <c r="H430" s="76" t="s">
        <v>281</v>
      </c>
      <c r="I430" s="74">
        <v>800</v>
      </c>
      <c r="J430" s="74">
        <v>17416</v>
      </c>
      <c r="K430" s="74">
        <v>7872</v>
      </c>
      <c r="L430" s="74">
        <v>9544</v>
      </c>
    </row>
    <row r="431" spans="1:12" x14ac:dyDescent="0.35">
      <c r="A431" s="74" t="s">
        <v>275</v>
      </c>
      <c r="B431" s="74" t="s">
        <v>276</v>
      </c>
      <c r="C431" s="74" t="s">
        <v>277</v>
      </c>
      <c r="D431" s="74" t="s">
        <v>278</v>
      </c>
      <c r="E431" s="75" t="s">
        <v>303</v>
      </c>
      <c r="F431" s="76">
        <v>42203</v>
      </c>
      <c r="G431" s="76" t="s">
        <v>292</v>
      </c>
      <c r="H431" s="76" t="s">
        <v>281</v>
      </c>
      <c r="I431" s="74">
        <v>700</v>
      </c>
      <c r="J431" s="74">
        <v>13804</v>
      </c>
      <c r="K431" s="74">
        <v>5929</v>
      </c>
      <c r="L431" s="74">
        <v>7875</v>
      </c>
    </row>
    <row r="432" spans="1:12" x14ac:dyDescent="0.35">
      <c r="A432" s="74" t="s">
        <v>275</v>
      </c>
      <c r="B432" s="74" t="s">
        <v>283</v>
      </c>
      <c r="C432" s="74" t="s">
        <v>284</v>
      </c>
      <c r="D432" s="74" t="s">
        <v>285</v>
      </c>
      <c r="E432" s="75" t="s">
        <v>279</v>
      </c>
      <c r="F432" s="76">
        <v>42203</v>
      </c>
      <c r="G432" s="76" t="s">
        <v>292</v>
      </c>
      <c r="H432" s="76" t="s">
        <v>311</v>
      </c>
      <c r="I432" s="74">
        <v>200</v>
      </c>
      <c r="J432" s="74">
        <v>4902</v>
      </c>
      <c r="K432" s="74">
        <v>2044</v>
      </c>
      <c r="L432" s="74">
        <v>2858</v>
      </c>
    </row>
    <row r="433" spans="1:12" x14ac:dyDescent="0.35">
      <c r="A433" s="74" t="s">
        <v>305</v>
      </c>
      <c r="B433" s="74" t="s">
        <v>126</v>
      </c>
      <c r="C433" s="74" t="s">
        <v>306</v>
      </c>
      <c r="D433" s="74" t="s">
        <v>307</v>
      </c>
      <c r="E433" s="75" t="s">
        <v>286</v>
      </c>
      <c r="F433" s="76">
        <v>42204</v>
      </c>
      <c r="G433" s="76" t="s">
        <v>310</v>
      </c>
      <c r="H433" s="76" t="s">
        <v>309</v>
      </c>
      <c r="I433" s="74">
        <v>500</v>
      </c>
      <c r="J433" s="74">
        <v>11235</v>
      </c>
      <c r="K433" s="74">
        <v>4920</v>
      </c>
      <c r="L433" s="74">
        <v>6315</v>
      </c>
    </row>
    <row r="434" spans="1:12" x14ac:dyDescent="0.35">
      <c r="A434" s="74" t="s">
        <v>305</v>
      </c>
      <c r="B434" s="74" t="s">
        <v>276</v>
      </c>
      <c r="C434" s="74" t="s">
        <v>326</v>
      </c>
      <c r="D434" s="74" t="s">
        <v>327</v>
      </c>
      <c r="E434" s="75" t="s">
        <v>279</v>
      </c>
      <c r="F434" s="76">
        <v>42206</v>
      </c>
      <c r="G434" s="76" t="s">
        <v>301</v>
      </c>
      <c r="H434" s="76" t="s">
        <v>334</v>
      </c>
      <c r="I434" s="74">
        <v>1000</v>
      </c>
      <c r="J434" s="74">
        <v>22840</v>
      </c>
      <c r="K434" s="74">
        <v>10220</v>
      </c>
      <c r="L434" s="74">
        <v>12620</v>
      </c>
    </row>
    <row r="435" spans="1:12" x14ac:dyDescent="0.35">
      <c r="A435" s="74" t="s">
        <v>289</v>
      </c>
      <c r="B435" s="74" t="s">
        <v>126</v>
      </c>
      <c r="C435" s="74" t="s">
        <v>290</v>
      </c>
      <c r="D435" s="74" t="s">
        <v>291</v>
      </c>
      <c r="E435" s="75" t="s">
        <v>303</v>
      </c>
      <c r="F435" s="76">
        <v>42207</v>
      </c>
      <c r="G435" s="76" t="s">
        <v>280</v>
      </c>
      <c r="H435" s="76" t="s">
        <v>323</v>
      </c>
      <c r="I435" s="74">
        <v>200</v>
      </c>
      <c r="J435" s="74">
        <v>3390</v>
      </c>
      <c r="K435" s="74">
        <v>1694</v>
      </c>
      <c r="L435" s="74">
        <v>1696</v>
      </c>
    </row>
    <row r="436" spans="1:12" x14ac:dyDescent="0.35">
      <c r="A436" s="74" t="s">
        <v>282</v>
      </c>
      <c r="B436" s="74" t="s">
        <v>283</v>
      </c>
      <c r="C436" s="74" t="s">
        <v>284</v>
      </c>
      <c r="D436" s="74" t="s">
        <v>285</v>
      </c>
      <c r="E436" s="75" t="s">
        <v>286</v>
      </c>
      <c r="F436" s="76">
        <v>42208</v>
      </c>
      <c r="G436" s="76" t="s">
        <v>287</v>
      </c>
      <c r="H436" s="76" t="s">
        <v>288</v>
      </c>
      <c r="I436" s="74">
        <v>300</v>
      </c>
      <c r="J436" s="74">
        <v>6228</v>
      </c>
      <c r="K436" s="74">
        <v>2952</v>
      </c>
      <c r="L436" s="74">
        <v>3276</v>
      </c>
    </row>
    <row r="437" spans="1:12" x14ac:dyDescent="0.35">
      <c r="A437" s="74" t="s">
        <v>275</v>
      </c>
      <c r="B437" s="74" t="s">
        <v>276</v>
      </c>
      <c r="C437" s="74" t="s">
        <v>277</v>
      </c>
      <c r="D437" s="74" t="s">
        <v>278</v>
      </c>
      <c r="E437" s="75" t="s">
        <v>286</v>
      </c>
      <c r="F437" s="76">
        <v>42211</v>
      </c>
      <c r="G437" s="76" t="s">
        <v>310</v>
      </c>
      <c r="H437" s="76" t="s">
        <v>281</v>
      </c>
      <c r="I437" s="74">
        <v>600</v>
      </c>
      <c r="J437" s="74">
        <v>13332</v>
      </c>
      <c r="K437" s="74">
        <v>5904</v>
      </c>
      <c r="L437" s="74">
        <v>7428</v>
      </c>
    </row>
    <row r="438" spans="1:12" x14ac:dyDescent="0.35">
      <c r="A438" s="74" t="s">
        <v>305</v>
      </c>
      <c r="B438" s="74" t="s">
        <v>126</v>
      </c>
      <c r="C438" s="74" t="s">
        <v>306</v>
      </c>
      <c r="D438" s="74" t="s">
        <v>307</v>
      </c>
      <c r="E438" s="75" t="s">
        <v>286</v>
      </c>
      <c r="F438" s="76">
        <v>42212</v>
      </c>
      <c r="G438" s="76" t="s">
        <v>318</v>
      </c>
      <c r="H438" s="76" t="s">
        <v>309</v>
      </c>
      <c r="I438" s="74">
        <v>200</v>
      </c>
      <c r="J438" s="74">
        <v>4132</v>
      </c>
      <c r="K438" s="74">
        <v>1968</v>
      </c>
      <c r="L438" s="74">
        <v>2164</v>
      </c>
    </row>
    <row r="439" spans="1:12" x14ac:dyDescent="0.35">
      <c r="A439" s="74" t="s">
        <v>289</v>
      </c>
      <c r="B439" s="74" t="s">
        <v>126</v>
      </c>
      <c r="C439" s="74" t="s">
        <v>290</v>
      </c>
      <c r="D439" s="74" t="s">
        <v>291</v>
      </c>
      <c r="E439" s="75" t="s">
        <v>279</v>
      </c>
      <c r="F439" s="76">
        <v>42213</v>
      </c>
      <c r="G439" s="76" t="s">
        <v>301</v>
      </c>
      <c r="H439" s="76" t="s">
        <v>323</v>
      </c>
      <c r="I439" s="74">
        <v>200</v>
      </c>
      <c r="J439" s="74">
        <v>4722</v>
      </c>
      <c r="K439" s="74">
        <v>2044</v>
      </c>
      <c r="L439" s="74">
        <v>2678</v>
      </c>
    </row>
    <row r="440" spans="1:12" x14ac:dyDescent="0.35">
      <c r="A440" s="74" t="s">
        <v>275</v>
      </c>
      <c r="B440" s="74" t="s">
        <v>276</v>
      </c>
      <c r="C440" s="74" t="s">
        <v>277</v>
      </c>
      <c r="D440" s="74" t="s">
        <v>278</v>
      </c>
      <c r="E440" s="75" t="s">
        <v>286</v>
      </c>
      <c r="F440" s="76">
        <v>42214</v>
      </c>
      <c r="G440" s="76" t="s">
        <v>280</v>
      </c>
      <c r="H440" s="76" t="s">
        <v>304</v>
      </c>
      <c r="I440" s="74">
        <v>700</v>
      </c>
      <c r="J440" s="74">
        <v>16170</v>
      </c>
      <c r="K440" s="74">
        <v>6888</v>
      </c>
      <c r="L440" s="74">
        <v>9282</v>
      </c>
    </row>
    <row r="441" spans="1:12" x14ac:dyDescent="0.35">
      <c r="A441" s="74" t="s">
        <v>282</v>
      </c>
      <c r="B441" s="74" t="s">
        <v>283</v>
      </c>
      <c r="C441" s="74" t="s">
        <v>284</v>
      </c>
      <c r="D441" s="74" t="s">
        <v>285</v>
      </c>
      <c r="E441" s="75" t="s">
        <v>286</v>
      </c>
      <c r="F441" s="76">
        <v>42215</v>
      </c>
      <c r="G441" s="76" t="s">
        <v>287</v>
      </c>
      <c r="H441" s="76" t="s">
        <v>288</v>
      </c>
      <c r="I441" s="74">
        <v>300</v>
      </c>
      <c r="J441" s="74">
        <v>6159</v>
      </c>
      <c r="K441" s="74">
        <v>2952</v>
      </c>
      <c r="L441" s="74">
        <v>3207</v>
      </c>
    </row>
    <row r="442" spans="1:12" x14ac:dyDescent="0.35">
      <c r="A442" s="74" t="s">
        <v>289</v>
      </c>
      <c r="B442" s="74" t="s">
        <v>128</v>
      </c>
      <c r="C442" s="74" t="s">
        <v>299</v>
      </c>
      <c r="D442" s="74" t="s">
        <v>300</v>
      </c>
      <c r="E442" s="75" t="s">
        <v>303</v>
      </c>
      <c r="F442" s="76">
        <v>42215</v>
      </c>
      <c r="G442" s="76" t="s">
        <v>287</v>
      </c>
      <c r="H442" s="76" t="s">
        <v>324</v>
      </c>
      <c r="I442" s="74">
        <v>1000</v>
      </c>
      <c r="J442" s="74">
        <v>18290</v>
      </c>
      <c r="K442" s="74">
        <v>8470</v>
      </c>
      <c r="L442" s="74">
        <v>9820</v>
      </c>
    </row>
    <row r="443" spans="1:12" x14ac:dyDescent="0.35">
      <c r="A443" s="74" t="s">
        <v>289</v>
      </c>
      <c r="B443" s="74" t="s">
        <v>126</v>
      </c>
      <c r="C443" s="74" t="s">
        <v>290</v>
      </c>
      <c r="D443" s="74" t="s">
        <v>291</v>
      </c>
      <c r="E443" s="75" t="s">
        <v>303</v>
      </c>
      <c r="F443" s="76">
        <v>42216</v>
      </c>
      <c r="G443" s="76" t="s">
        <v>308</v>
      </c>
      <c r="H443" s="76" t="s">
        <v>323</v>
      </c>
      <c r="I443" s="74">
        <v>1000</v>
      </c>
      <c r="J443" s="74">
        <v>18500</v>
      </c>
      <c r="K443" s="74">
        <v>8470</v>
      </c>
      <c r="L443" s="74">
        <v>10030</v>
      </c>
    </row>
    <row r="444" spans="1:12" x14ac:dyDescent="0.35">
      <c r="A444" s="74" t="s">
        <v>289</v>
      </c>
      <c r="B444" s="74" t="s">
        <v>126</v>
      </c>
      <c r="C444" s="74" t="s">
        <v>290</v>
      </c>
      <c r="D444" s="74" t="s">
        <v>291</v>
      </c>
      <c r="E444" s="75" t="s">
        <v>279</v>
      </c>
      <c r="F444" s="76">
        <v>42219</v>
      </c>
      <c r="G444" s="76" t="s">
        <v>318</v>
      </c>
      <c r="H444" s="76" t="s">
        <v>323</v>
      </c>
      <c r="I444" s="74">
        <v>900</v>
      </c>
      <c r="J444" s="74">
        <v>21159</v>
      </c>
      <c r="K444" s="74">
        <v>9198</v>
      </c>
      <c r="L444" s="74">
        <v>11961</v>
      </c>
    </row>
    <row r="445" spans="1:12" x14ac:dyDescent="0.35">
      <c r="A445" s="74" t="s">
        <v>282</v>
      </c>
      <c r="B445" s="74" t="s">
        <v>126</v>
      </c>
      <c r="C445" s="74" t="s">
        <v>312</v>
      </c>
      <c r="D445" s="74" t="s">
        <v>313</v>
      </c>
      <c r="E445" s="75" t="s">
        <v>303</v>
      </c>
      <c r="F445" s="76">
        <v>42220</v>
      </c>
      <c r="G445" s="76" t="s">
        <v>301</v>
      </c>
      <c r="H445" s="76" t="s">
        <v>314</v>
      </c>
      <c r="I445" s="74">
        <v>800</v>
      </c>
      <c r="J445" s="74">
        <v>15488</v>
      </c>
      <c r="K445" s="74">
        <v>6776</v>
      </c>
      <c r="L445" s="74">
        <v>8712</v>
      </c>
    </row>
    <row r="446" spans="1:12" x14ac:dyDescent="0.35">
      <c r="A446" s="74" t="s">
        <v>275</v>
      </c>
      <c r="B446" s="74" t="s">
        <v>276</v>
      </c>
      <c r="C446" s="74" t="s">
        <v>277</v>
      </c>
      <c r="D446" s="74" t="s">
        <v>278</v>
      </c>
      <c r="E446" s="75" t="s">
        <v>279</v>
      </c>
      <c r="F446" s="76">
        <v>42220</v>
      </c>
      <c r="G446" s="76" t="s">
        <v>301</v>
      </c>
      <c r="H446" s="76" t="s">
        <v>281</v>
      </c>
      <c r="I446" s="74">
        <v>100</v>
      </c>
      <c r="J446" s="74">
        <v>2547</v>
      </c>
      <c r="K446" s="74">
        <v>1022</v>
      </c>
      <c r="L446" s="74">
        <v>1525</v>
      </c>
    </row>
    <row r="447" spans="1:12" x14ac:dyDescent="0.35">
      <c r="A447" s="74" t="s">
        <v>305</v>
      </c>
      <c r="B447" s="74" t="s">
        <v>126</v>
      </c>
      <c r="C447" s="74" t="s">
        <v>306</v>
      </c>
      <c r="D447" s="74" t="s">
        <v>307</v>
      </c>
      <c r="E447" s="75" t="s">
        <v>303</v>
      </c>
      <c r="F447" s="76">
        <v>42221</v>
      </c>
      <c r="G447" s="76" t="s">
        <v>280</v>
      </c>
      <c r="H447" s="76" t="s">
        <v>309</v>
      </c>
      <c r="I447" s="74">
        <v>200</v>
      </c>
      <c r="J447" s="74">
        <v>3418</v>
      </c>
      <c r="K447" s="74">
        <v>1694</v>
      </c>
      <c r="L447" s="74">
        <v>1724</v>
      </c>
    </row>
    <row r="448" spans="1:12" x14ac:dyDescent="0.35">
      <c r="A448" s="74" t="s">
        <v>275</v>
      </c>
      <c r="B448" s="74" t="s">
        <v>276</v>
      </c>
      <c r="C448" s="74" t="s">
        <v>277</v>
      </c>
      <c r="D448" s="74" t="s">
        <v>278</v>
      </c>
      <c r="E448" s="75" t="s">
        <v>303</v>
      </c>
      <c r="F448" s="76">
        <v>42222</v>
      </c>
      <c r="G448" s="76" t="s">
        <v>287</v>
      </c>
      <c r="H448" s="76" t="s">
        <v>304</v>
      </c>
      <c r="I448" s="74">
        <v>1000</v>
      </c>
      <c r="J448" s="74">
        <v>19530</v>
      </c>
      <c r="K448" s="74">
        <v>8470</v>
      </c>
      <c r="L448" s="74">
        <v>11060</v>
      </c>
    </row>
    <row r="449" spans="1:12" x14ac:dyDescent="0.35">
      <c r="A449" s="74" t="s">
        <v>305</v>
      </c>
      <c r="B449" s="74" t="s">
        <v>128</v>
      </c>
      <c r="C449" s="74" t="s">
        <v>342</v>
      </c>
      <c r="D449" s="74" t="s">
        <v>343</v>
      </c>
      <c r="E449" s="75" t="s">
        <v>286</v>
      </c>
      <c r="F449" s="76">
        <v>42223</v>
      </c>
      <c r="G449" s="76" t="s">
        <v>308</v>
      </c>
      <c r="H449" s="76" t="s">
        <v>344</v>
      </c>
      <c r="I449" s="74">
        <v>200</v>
      </c>
      <c r="J449" s="74">
        <v>4380</v>
      </c>
      <c r="K449" s="74">
        <v>1968</v>
      </c>
      <c r="L449" s="74">
        <v>2412</v>
      </c>
    </row>
    <row r="450" spans="1:12" x14ac:dyDescent="0.35">
      <c r="A450" s="74" t="s">
        <v>305</v>
      </c>
      <c r="B450" s="74" t="s">
        <v>126</v>
      </c>
      <c r="C450" s="74" t="s">
        <v>306</v>
      </c>
      <c r="D450" s="74" t="s">
        <v>307</v>
      </c>
      <c r="E450" s="75" t="s">
        <v>286</v>
      </c>
      <c r="F450" s="76">
        <v>42227</v>
      </c>
      <c r="G450" s="76" t="s">
        <v>301</v>
      </c>
      <c r="H450" s="76" t="s">
        <v>309</v>
      </c>
      <c r="I450" s="74">
        <v>600</v>
      </c>
      <c r="J450" s="74">
        <v>13368</v>
      </c>
      <c r="K450" s="74">
        <v>5904</v>
      </c>
      <c r="L450" s="74">
        <v>7464</v>
      </c>
    </row>
    <row r="451" spans="1:12" x14ac:dyDescent="0.35">
      <c r="A451" s="74" t="s">
        <v>275</v>
      </c>
      <c r="B451" s="74" t="s">
        <v>276</v>
      </c>
      <c r="C451" s="74" t="s">
        <v>277</v>
      </c>
      <c r="D451" s="74" t="s">
        <v>278</v>
      </c>
      <c r="E451" s="75" t="s">
        <v>279</v>
      </c>
      <c r="F451" s="76">
        <v>42228</v>
      </c>
      <c r="G451" s="76" t="s">
        <v>280</v>
      </c>
      <c r="H451" s="76" t="s">
        <v>281</v>
      </c>
      <c r="I451" s="74">
        <v>200</v>
      </c>
      <c r="J451" s="74">
        <v>4550</v>
      </c>
      <c r="K451" s="74">
        <v>2044</v>
      </c>
      <c r="L451" s="74">
        <v>2506</v>
      </c>
    </row>
    <row r="452" spans="1:12" x14ac:dyDescent="0.35">
      <c r="A452" s="74" t="s">
        <v>282</v>
      </c>
      <c r="B452" s="74" t="s">
        <v>126</v>
      </c>
      <c r="C452" s="74" t="s">
        <v>312</v>
      </c>
      <c r="D452" s="74" t="s">
        <v>313</v>
      </c>
      <c r="E452" s="75" t="s">
        <v>286</v>
      </c>
      <c r="F452" s="76">
        <v>42230</v>
      </c>
      <c r="G452" s="76" t="s">
        <v>308</v>
      </c>
      <c r="H452" s="76" t="s">
        <v>314</v>
      </c>
      <c r="I452" s="74">
        <v>300</v>
      </c>
      <c r="J452" s="74">
        <v>6522</v>
      </c>
      <c r="K452" s="74">
        <v>2952</v>
      </c>
      <c r="L452" s="74">
        <v>3570</v>
      </c>
    </row>
    <row r="453" spans="1:12" x14ac:dyDescent="0.35">
      <c r="A453" s="74" t="s">
        <v>289</v>
      </c>
      <c r="B453" s="74" t="s">
        <v>126</v>
      </c>
      <c r="C453" s="74" t="s">
        <v>290</v>
      </c>
      <c r="D453" s="74" t="s">
        <v>291</v>
      </c>
      <c r="E453" s="75" t="s">
        <v>286</v>
      </c>
      <c r="F453" s="76">
        <v>42232</v>
      </c>
      <c r="G453" s="76" t="s">
        <v>310</v>
      </c>
      <c r="H453" s="76" t="s">
        <v>293</v>
      </c>
      <c r="I453" s="74">
        <v>200</v>
      </c>
      <c r="J453" s="74">
        <v>4270</v>
      </c>
      <c r="K453" s="74">
        <v>1968</v>
      </c>
      <c r="L453" s="74">
        <v>2302</v>
      </c>
    </row>
    <row r="454" spans="1:12" x14ac:dyDescent="0.35">
      <c r="A454" s="74" t="s">
        <v>298</v>
      </c>
      <c r="B454" s="74" t="s">
        <v>126</v>
      </c>
      <c r="C454" s="74" t="s">
        <v>329</v>
      </c>
      <c r="D454" s="74" t="s">
        <v>330</v>
      </c>
      <c r="E454" s="75" t="s">
        <v>286</v>
      </c>
      <c r="F454" s="76">
        <v>42232</v>
      </c>
      <c r="G454" s="76" t="s">
        <v>310</v>
      </c>
      <c r="H454" s="76" t="s">
        <v>331</v>
      </c>
      <c r="I454" s="74">
        <v>700</v>
      </c>
      <c r="J454" s="74">
        <v>17213</v>
      </c>
      <c r="K454" s="74">
        <v>6888</v>
      </c>
      <c r="L454" s="74">
        <v>10325</v>
      </c>
    </row>
    <row r="455" spans="1:12" x14ac:dyDescent="0.35">
      <c r="A455" s="74" t="s">
        <v>289</v>
      </c>
      <c r="B455" s="74" t="s">
        <v>126</v>
      </c>
      <c r="C455" s="74" t="s">
        <v>290</v>
      </c>
      <c r="D455" s="74" t="s">
        <v>291</v>
      </c>
      <c r="E455" s="75" t="s">
        <v>286</v>
      </c>
      <c r="F455" s="76">
        <v>42234</v>
      </c>
      <c r="G455" s="76" t="s">
        <v>301</v>
      </c>
      <c r="H455" s="76" t="s">
        <v>323</v>
      </c>
      <c r="I455" s="74">
        <v>800</v>
      </c>
      <c r="J455" s="74">
        <v>16232</v>
      </c>
      <c r="K455" s="74">
        <v>7872</v>
      </c>
      <c r="L455" s="74">
        <v>8360</v>
      </c>
    </row>
    <row r="456" spans="1:12" x14ac:dyDescent="0.35">
      <c r="A456" s="74" t="s">
        <v>275</v>
      </c>
      <c r="B456" s="74" t="s">
        <v>276</v>
      </c>
      <c r="C456" s="74" t="s">
        <v>277</v>
      </c>
      <c r="D456" s="74" t="s">
        <v>278</v>
      </c>
      <c r="E456" s="75" t="s">
        <v>279</v>
      </c>
      <c r="F456" s="76">
        <v>42235</v>
      </c>
      <c r="G456" s="76" t="s">
        <v>280</v>
      </c>
      <c r="H456" s="76" t="s">
        <v>281</v>
      </c>
      <c r="I456" s="74">
        <v>500</v>
      </c>
      <c r="J456" s="74">
        <v>12755</v>
      </c>
      <c r="K456" s="74">
        <v>5110</v>
      </c>
      <c r="L456" s="74">
        <v>7645</v>
      </c>
    </row>
    <row r="457" spans="1:12" x14ac:dyDescent="0.35">
      <c r="A457" s="74" t="s">
        <v>275</v>
      </c>
      <c r="B457" s="74" t="s">
        <v>276</v>
      </c>
      <c r="C457" s="74" t="s">
        <v>277</v>
      </c>
      <c r="D457" s="74" t="s">
        <v>278</v>
      </c>
      <c r="E457" s="75" t="s">
        <v>286</v>
      </c>
      <c r="F457" s="76">
        <v>42236</v>
      </c>
      <c r="G457" s="76" t="s">
        <v>287</v>
      </c>
      <c r="H457" s="76" t="s">
        <v>304</v>
      </c>
      <c r="I457" s="74">
        <v>200</v>
      </c>
      <c r="J457" s="74">
        <v>4470</v>
      </c>
      <c r="K457" s="74">
        <v>1968</v>
      </c>
      <c r="L457" s="74">
        <v>2502</v>
      </c>
    </row>
    <row r="458" spans="1:12" x14ac:dyDescent="0.35">
      <c r="A458" s="74" t="s">
        <v>275</v>
      </c>
      <c r="B458" s="74" t="s">
        <v>276</v>
      </c>
      <c r="C458" s="74" t="s">
        <v>277</v>
      </c>
      <c r="D458" s="74" t="s">
        <v>278</v>
      </c>
      <c r="E458" s="75" t="s">
        <v>303</v>
      </c>
      <c r="F458" s="76">
        <v>42237</v>
      </c>
      <c r="G458" s="76" t="s">
        <v>308</v>
      </c>
      <c r="H458" s="76" t="s">
        <v>281</v>
      </c>
      <c r="I458" s="74">
        <v>300</v>
      </c>
      <c r="J458" s="74">
        <v>6156</v>
      </c>
      <c r="K458" s="74">
        <v>2541</v>
      </c>
      <c r="L458" s="74">
        <v>3615</v>
      </c>
    </row>
    <row r="459" spans="1:12" x14ac:dyDescent="0.35">
      <c r="A459" s="74" t="s">
        <v>275</v>
      </c>
      <c r="B459" s="74" t="s">
        <v>283</v>
      </c>
      <c r="C459" s="74" t="s">
        <v>284</v>
      </c>
      <c r="D459" s="74" t="s">
        <v>285</v>
      </c>
      <c r="E459" s="75" t="s">
        <v>286</v>
      </c>
      <c r="F459" s="76">
        <v>42238</v>
      </c>
      <c r="G459" s="76" t="s">
        <v>292</v>
      </c>
      <c r="H459" s="76" t="s">
        <v>319</v>
      </c>
      <c r="I459" s="74">
        <v>800</v>
      </c>
      <c r="J459" s="74">
        <v>15544</v>
      </c>
      <c r="K459" s="74">
        <v>6776</v>
      </c>
      <c r="L459" s="74">
        <v>8768</v>
      </c>
    </row>
    <row r="460" spans="1:12" x14ac:dyDescent="0.35">
      <c r="A460" s="74" t="s">
        <v>275</v>
      </c>
      <c r="B460" s="74" t="s">
        <v>276</v>
      </c>
      <c r="C460" s="74" t="s">
        <v>277</v>
      </c>
      <c r="D460" s="74" t="s">
        <v>278</v>
      </c>
      <c r="E460" s="75" t="s">
        <v>286</v>
      </c>
      <c r="F460" s="76">
        <v>42240</v>
      </c>
      <c r="G460" s="76" t="s">
        <v>318</v>
      </c>
      <c r="H460" s="76" t="s">
        <v>281</v>
      </c>
      <c r="I460" s="74">
        <v>100</v>
      </c>
      <c r="J460" s="74">
        <v>2409</v>
      </c>
      <c r="K460" s="74">
        <v>984</v>
      </c>
      <c r="L460" s="74">
        <v>1425</v>
      </c>
    </row>
    <row r="461" spans="1:12" x14ac:dyDescent="0.35">
      <c r="A461" s="74" t="s">
        <v>298</v>
      </c>
      <c r="B461" s="74" t="s">
        <v>126</v>
      </c>
      <c r="C461" s="74" t="s">
        <v>329</v>
      </c>
      <c r="D461" s="74" t="s">
        <v>330</v>
      </c>
      <c r="E461" s="75" t="s">
        <v>279</v>
      </c>
      <c r="F461" s="76">
        <v>42241</v>
      </c>
      <c r="G461" s="76" t="s">
        <v>301</v>
      </c>
      <c r="H461" s="76" t="s">
        <v>331</v>
      </c>
      <c r="I461" s="74">
        <v>600</v>
      </c>
      <c r="J461" s="74">
        <v>12570</v>
      </c>
      <c r="K461" s="74">
        <v>6132</v>
      </c>
      <c r="L461" s="74">
        <v>6438</v>
      </c>
    </row>
    <row r="462" spans="1:12" x14ac:dyDescent="0.35">
      <c r="A462" s="74" t="s">
        <v>275</v>
      </c>
      <c r="B462" s="74" t="s">
        <v>283</v>
      </c>
      <c r="C462" s="74" t="s">
        <v>284</v>
      </c>
      <c r="D462" s="74" t="s">
        <v>285</v>
      </c>
      <c r="E462" s="75" t="s">
        <v>279</v>
      </c>
      <c r="F462" s="76">
        <v>42241</v>
      </c>
      <c r="G462" s="76" t="s">
        <v>301</v>
      </c>
      <c r="H462" s="76" t="s">
        <v>311</v>
      </c>
      <c r="I462" s="74">
        <v>300</v>
      </c>
      <c r="J462" s="74">
        <v>6438</v>
      </c>
      <c r="K462" s="74">
        <v>3066</v>
      </c>
      <c r="L462" s="74">
        <v>3372</v>
      </c>
    </row>
    <row r="463" spans="1:12" x14ac:dyDescent="0.35">
      <c r="A463" s="74" t="s">
        <v>275</v>
      </c>
      <c r="B463" s="74" t="s">
        <v>276</v>
      </c>
      <c r="C463" s="74" t="s">
        <v>277</v>
      </c>
      <c r="D463" s="74" t="s">
        <v>278</v>
      </c>
      <c r="E463" s="75" t="s">
        <v>279</v>
      </c>
      <c r="F463" s="76">
        <v>42242</v>
      </c>
      <c r="G463" s="76" t="s">
        <v>280</v>
      </c>
      <c r="H463" s="76" t="s">
        <v>281</v>
      </c>
      <c r="I463" s="74">
        <v>900</v>
      </c>
      <c r="J463" s="74">
        <v>19593</v>
      </c>
      <c r="K463" s="74">
        <v>9198</v>
      </c>
      <c r="L463" s="74">
        <v>10395</v>
      </c>
    </row>
    <row r="464" spans="1:12" x14ac:dyDescent="0.35">
      <c r="A464" s="74" t="s">
        <v>282</v>
      </c>
      <c r="B464" s="74" t="s">
        <v>283</v>
      </c>
      <c r="C464" s="74" t="s">
        <v>284</v>
      </c>
      <c r="D464" s="74" t="s">
        <v>285</v>
      </c>
      <c r="E464" s="75" t="s">
        <v>303</v>
      </c>
      <c r="F464" s="76">
        <v>42243</v>
      </c>
      <c r="G464" s="76" t="s">
        <v>287</v>
      </c>
      <c r="H464" s="76" t="s">
        <v>288</v>
      </c>
      <c r="I464" s="74">
        <v>900</v>
      </c>
      <c r="J464" s="74">
        <v>18981</v>
      </c>
      <c r="K464" s="74">
        <v>7623</v>
      </c>
      <c r="L464" s="74">
        <v>11358</v>
      </c>
    </row>
    <row r="465" spans="1:12" x14ac:dyDescent="0.35">
      <c r="A465" s="74" t="s">
        <v>289</v>
      </c>
      <c r="B465" s="74" t="s">
        <v>126</v>
      </c>
      <c r="C465" s="74" t="s">
        <v>290</v>
      </c>
      <c r="D465" s="74" t="s">
        <v>291</v>
      </c>
      <c r="E465" s="75" t="s">
        <v>279</v>
      </c>
      <c r="F465" s="76">
        <v>42244</v>
      </c>
      <c r="G465" s="76" t="s">
        <v>308</v>
      </c>
      <c r="H465" s="76" t="s">
        <v>323</v>
      </c>
      <c r="I465" s="74">
        <v>800</v>
      </c>
      <c r="J465" s="74">
        <v>17160</v>
      </c>
      <c r="K465" s="74">
        <v>8176</v>
      </c>
      <c r="L465" s="74">
        <v>8984</v>
      </c>
    </row>
    <row r="466" spans="1:12" x14ac:dyDescent="0.35">
      <c r="A466" s="74" t="s">
        <v>275</v>
      </c>
      <c r="B466" s="74" t="s">
        <v>283</v>
      </c>
      <c r="C466" s="74" t="s">
        <v>284</v>
      </c>
      <c r="D466" s="74" t="s">
        <v>285</v>
      </c>
      <c r="E466" s="75" t="s">
        <v>303</v>
      </c>
      <c r="F466" s="76">
        <v>42244</v>
      </c>
      <c r="G466" s="76" t="s">
        <v>308</v>
      </c>
      <c r="H466" s="76" t="s">
        <v>311</v>
      </c>
      <c r="I466" s="74">
        <v>100</v>
      </c>
      <c r="J466" s="74">
        <v>2028</v>
      </c>
      <c r="K466" s="74">
        <v>847</v>
      </c>
      <c r="L466" s="74">
        <v>1181</v>
      </c>
    </row>
    <row r="467" spans="1:12" x14ac:dyDescent="0.35">
      <c r="A467" s="74" t="s">
        <v>305</v>
      </c>
      <c r="B467" s="74" t="s">
        <v>126</v>
      </c>
      <c r="C467" s="74" t="s">
        <v>306</v>
      </c>
      <c r="D467" s="74" t="s">
        <v>307</v>
      </c>
      <c r="E467" s="75" t="s">
        <v>303</v>
      </c>
      <c r="F467" s="76">
        <v>42244</v>
      </c>
      <c r="G467" s="76" t="s">
        <v>308</v>
      </c>
      <c r="H467" s="76" t="s">
        <v>309</v>
      </c>
      <c r="I467" s="74">
        <v>300</v>
      </c>
      <c r="J467" s="74">
        <v>5859</v>
      </c>
      <c r="K467" s="74">
        <v>2541</v>
      </c>
      <c r="L467" s="74">
        <v>3318</v>
      </c>
    </row>
    <row r="468" spans="1:12" x14ac:dyDescent="0.35">
      <c r="A468" s="74" t="s">
        <v>289</v>
      </c>
      <c r="B468" s="74" t="s">
        <v>126</v>
      </c>
      <c r="C468" s="74" t="s">
        <v>290</v>
      </c>
      <c r="D468" s="74" t="s">
        <v>291</v>
      </c>
      <c r="E468" s="75" t="s">
        <v>303</v>
      </c>
      <c r="F468" s="76">
        <v>42245</v>
      </c>
      <c r="G468" s="76" t="s">
        <v>292</v>
      </c>
      <c r="H468" s="76" t="s">
        <v>333</v>
      </c>
      <c r="I468" s="74">
        <v>300</v>
      </c>
      <c r="J468" s="74">
        <v>5532</v>
      </c>
      <c r="K468" s="74">
        <v>2541</v>
      </c>
      <c r="L468" s="74">
        <v>2991</v>
      </c>
    </row>
    <row r="469" spans="1:12" x14ac:dyDescent="0.35">
      <c r="A469" s="74" t="s">
        <v>275</v>
      </c>
      <c r="B469" s="74" t="s">
        <v>276</v>
      </c>
      <c r="C469" s="74" t="s">
        <v>277</v>
      </c>
      <c r="D469" s="74" t="s">
        <v>278</v>
      </c>
      <c r="E469" s="75" t="s">
        <v>279</v>
      </c>
      <c r="F469" s="76">
        <v>42246</v>
      </c>
      <c r="G469" s="76" t="s">
        <v>310</v>
      </c>
      <c r="H469" s="76" t="s">
        <v>281</v>
      </c>
      <c r="I469" s="74">
        <v>500</v>
      </c>
      <c r="J469" s="74">
        <v>12575</v>
      </c>
      <c r="K469" s="74">
        <v>5110</v>
      </c>
      <c r="L469" s="74">
        <v>7465</v>
      </c>
    </row>
    <row r="470" spans="1:12" x14ac:dyDescent="0.35">
      <c r="A470" s="74" t="s">
        <v>298</v>
      </c>
      <c r="B470" s="74" t="s">
        <v>283</v>
      </c>
      <c r="C470" s="74" t="s">
        <v>284</v>
      </c>
      <c r="D470" s="74" t="s">
        <v>285</v>
      </c>
      <c r="E470" s="75" t="s">
        <v>303</v>
      </c>
      <c r="F470" s="76">
        <v>42248</v>
      </c>
      <c r="G470" s="76" t="s">
        <v>301</v>
      </c>
      <c r="H470" s="76" t="s">
        <v>315</v>
      </c>
      <c r="I470" s="74">
        <v>800</v>
      </c>
      <c r="J470" s="74">
        <v>16144</v>
      </c>
      <c r="K470" s="74">
        <v>6776</v>
      </c>
      <c r="L470" s="74">
        <v>9368</v>
      </c>
    </row>
    <row r="471" spans="1:12" x14ac:dyDescent="0.35">
      <c r="A471" s="74" t="s">
        <v>275</v>
      </c>
      <c r="B471" s="74" t="s">
        <v>276</v>
      </c>
      <c r="C471" s="74" t="s">
        <v>277</v>
      </c>
      <c r="D471" s="74" t="s">
        <v>278</v>
      </c>
      <c r="E471" s="75" t="s">
        <v>286</v>
      </c>
      <c r="F471" s="76">
        <v>42250</v>
      </c>
      <c r="G471" s="76" t="s">
        <v>287</v>
      </c>
      <c r="H471" s="76" t="s">
        <v>304</v>
      </c>
      <c r="I471" s="74">
        <v>900</v>
      </c>
      <c r="J471" s="74">
        <v>18486</v>
      </c>
      <c r="K471" s="74">
        <v>8856</v>
      </c>
      <c r="L471" s="74">
        <v>9630</v>
      </c>
    </row>
    <row r="472" spans="1:12" x14ac:dyDescent="0.35">
      <c r="A472" s="74" t="s">
        <v>289</v>
      </c>
      <c r="B472" s="74" t="s">
        <v>126</v>
      </c>
      <c r="C472" s="74" t="s">
        <v>290</v>
      </c>
      <c r="D472" s="74" t="s">
        <v>291</v>
      </c>
      <c r="E472" s="75" t="s">
        <v>303</v>
      </c>
      <c r="F472" s="76">
        <v>42252</v>
      </c>
      <c r="G472" s="76" t="s">
        <v>292</v>
      </c>
      <c r="H472" s="76" t="s">
        <v>323</v>
      </c>
      <c r="I472" s="74">
        <v>900</v>
      </c>
      <c r="J472" s="74">
        <v>17289</v>
      </c>
      <c r="K472" s="74">
        <v>7623</v>
      </c>
      <c r="L472" s="74">
        <v>9666</v>
      </c>
    </row>
    <row r="473" spans="1:12" x14ac:dyDescent="0.35">
      <c r="A473" s="74" t="s">
        <v>275</v>
      </c>
      <c r="B473" s="74" t="s">
        <v>276</v>
      </c>
      <c r="C473" s="74" t="s">
        <v>277</v>
      </c>
      <c r="D473" s="74" t="s">
        <v>278</v>
      </c>
      <c r="E473" s="75" t="s">
        <v>286</v>
      </c>
      <c r="F473" s="76">
        <v>42252</v>
      </c>
      <c r="G473" s="76" t="s">
        <v>292</v>
      </c>
      <c r="H473" s="76" t="s">
        <v>304</v>
      </c>
      <c r="I473" s="74">
        <v>100</v>
      </c>
      <c r="J473" s="74">
        <v>2106</v>
      </c>
      <c r="K473" s="74">
        <v>984</v>
      </c>
      <c r="L473" s="74">
        <v>1122</v>
      </c>
    </row>
    <row r="474" spans="1:12" x14ac:dyDescent="0.35">
      <c r="A474" s="74" t="s">
        <v>305</v>
      </c>
      <c r="B474" s="74" t="s">
        <v>126</v>
      </c>
      <c r="C474" s="74" t="s">
        <v>312</v>
      </c>
      <c r="D474" s="74" t="s">
        <v>313</v>
      </c>
      <c r="E474" s="75" t="s">
        <v>286</v>
      </c>
      <c r="F474" s="76">
        <v>42256</v>
      </c>
      <c r="G474" s="76" t="s">
        <v>280</v>
      </c>
      <c r="H474" s="76" t="s">
        <v>340</v>
      </c>
      <c r="I474" s="74">
        <v>100</v>
      </c>
      <c r="J474" s="74">
        <v>2029</v>
      </c>
      <c r="K474" s="74">
        <v>984</v>
      </c>
      <c r="L474" s="74">
        <v>1045</v>
      </c>
    </row>
    <row r="475" spans="1:12" x14ac:dyDescent="0.35">
      <c r="A475" s="74" t="s">
        <v>282</v>
      </c>
      <c r="B475" s="74" t="s">
        <v>283</v>
      </c>
      <c r="C475" s="74" t="s">
        <v>284</v>
      </c>
      <c r="D475" s="74" t="s">
        <v>285</v>
      </c>
      <c r="E475" s="75" t="s">
        <v>279</v>
      </c>
      <c r="F475" s="76">
        <v>42257</v>
      </c>
      <c r="G475" s="76" t="s">
        <v>287</v>
      </c>
      <c r="H475" s="76" t="s">
        <v>288</v>
      </c>
      <c r="I475" s="74">
        <v>600</v>
      </c>
      <c r="J475" s="74">
        <v>12936</v>
      </c>
      <c r="K475" s="74">
        <v>6132</v>
      </c>
      <c r="L475" s="74">
        <v>6804</v>
      </c>
    </row>
    <row r="476" spans="1:12" x14ac:dyDescent="0.35">
      <c r="A476" s="74" t="s">
        <v>275</v>
      </c>
      <c r="B476" s="74" t="s">
        <v>128</v>
      </c>
      <c r="C476" s="74" t="s">
        <v>299</v>
      </c>
      <c r="D476" s="74" t="s">
        <v>300</v>
      </c>
      <c r="E476" s="75" t="s">
        <v>286</v>
      </c>
      <c r="F476" s="76">
        <v>42257</v>
      </c>
      <c r="G476" s="76" t="s">
        <v>287</v>
      </c>
      <c r="H476" s="76" t="s">
        <v>335</v>
      </c>
      <c r="I476" s="74">
        <v>500</v>
      </c>
      <c r="J476" s="74">
        <v>11550</v>
      </c>
      <c r="K476" s="74">
        <v>4920</v>
      </c>
      <c r="L476" s="74">
        <v>6630</v>
      </c>
    </row>
    <row r="477" spans="1:12" x14ac:dyDescent="0.35">
      <c r="A477" s="74" t="s">
        <v>298</v>
      </c>
      <c r="B477" s="74" t="s">
        <v>126</v>
      </c>
      <c r="C477" s="74" t="s">
        <v>329</v>
      </c>
      <c r="D477" s="74" t="s">
        <v>330</v>
      </c>
      <c r="E477" s="75" t="s">
        <v>286</v>
      </c>
      <c r="F477" s="76">
        <v>42259</v>
      </c>
      <c r="G477" s="76" t="s">
        <v>292</v>
      </c>
      <c r="H477" s="76" t="s">
        <v>331</v>
      </c>
      <c r="I477" s="74">
        <v>600</v>
      </c>
      <c r="J477" s="74">
        <v>14580</v>
      </c>
      <c r="K477" s="74">
        <v>5904</v>
      </c>
      <c r="L477" s="74">
        <v>8676</v>
      </c>
    </row>
    <row r="478" spans="1:12" x14ac:dyDescent="0.35">
      <c r="A478" s="74" t="s">
        <v>298</v>
      </c>
      <c r="B478" s="74" t="s">
        <v>283</v>
      </c>
      <c r="C478" s="74" t="s">
        <v>284</v>
      </c>
      <c r="D478" s="74" t="s">
        <v>285</v>
      </c>
      <c r="E478" s="75" t="s">
        <v>279</v>
      </c>
      <c r="F478" s="76">
        <v>42261</v>
      </c>
      <c r="G478" s="76" t="s">
        <v>318</v>
      </c>
      <c r="H478" s="76" t="s">
        <v>315</v>
      </c>
      <c r="I478" s="74">
        <v>100</v>
      </c>
      <c r="J478" s="74">
        <v>2058</v>
      </c>
      <c r="K478" s="74">
        <v>1022</v>
      </c>
      <c r="L478" s="74">
        <v>1036</v>
      </c>
    </row>
    <row r="479" spans="1:12" x14ac:dyDescent="0.35">
      <c r="A479" s="74" t="s">
        <v>275</v>
      </c>
      <c r="B479" s="74" t="s">
        <v>276</v>
      </c>
      <c r="C479" s="74" t="s">
        <v>277</v>
      </c>
      <c r="D479" s="74" t="s">
        <v>278</v>
      </c>
      <c r="E479" s="75" t="s">
        <v>286</v>
      </c>
      <c r="F479" s="76">
        <v>42261</v>
      </c>
      <c r="G479" s="76" t="s">
        <v>318</v>
      </c>
      <c r="H479" s="76" t="s">
        <v>281</v>
      </c>
      <c r="I479" s="74">
        <v>600</v>
      </c>
      <c r="J479" s="74">
        <v>13566</v>
      </c>
      <c r="K479" s="74">
        <v>5904</v>
      </c>
      <c r="L479" s="74">
        <v>7662</v>
      </c>
    </row>
    <row r="480" spans="1:12" x14ac:dyDescent="0.35">
      <c r="A480" s="74" t="s">
        <v>275</v>
      </c>
      <c r="B480" s="74" t="s">
        <v>283</v>
      </c>
      <c r="C480" s="74" t="s">
        <v>284</v>
      </c>
      <c r="D480" s="74" t="s">
        <v>285</v>
      </c>
      <c r="E480" s="75" t="s">
        <v>286</v>
      </c>
      <c r="F480" s="76">
        <v>42264</v>
      </c>
      <c r="G480" s="76" t="s">
        <v>287</v>
      </c>
      <c r="H480" s="76" t="s">
        <v>319</v>
      </c>
      <c r="I480" s="74">
        <v>100</v>
      </c>
      <c r="J480" s="74">
        <v>1741</v>
      </c>
      <c r="K480" s="74">
        <v>847</v>
      </c>
      <c r="L480" s="74">
        <v>894</v>
      </c>
    </row>
    <row r="481" spans="1:12" x14ac:dyDescent="0.35">
      <c r="A481" s="74" t="s">
        <v>289</v>
      </c>
      <c r="B481" s="74" t="s">
        <v>126</v>
      </c>
      <c r="C481" s="74" t="s">
        <v>290</v>
      </c>
      <c r="D481" s="74" t="s">
        <v>291</v>
      </c>
      <c r="E481" s="75" t="s">
        <v>279</v>
      </c>
      <c r="F481" s="76">
        <v>42265</v>
      </c>
      <c r="G481" s="76" t="s">
        <v>308</v>
      </c>
      <c r="H481" s="76" t="s">
        <v>323</v>
      </c>
      <c r="I481" s="74">
        <v>200</v>
      </c>
      <c r="J481" s="74">
        <v>5002</v>
      </c>
      <c r="K481" s="74">
        <v>2044</v>
      </c>
      <c r="L481" s="74">
        <v>2958</v>
      </c>
    </row>
    <row r="482" spans="1:12" x14ac:dyDescent="0.35">
      <c r="A482" s="74" t="s">
        <v>282</v>
      </c>
      <c r="B482" s="74" t="s">
        <v>126</v>
      </c>
      <c r="C482" s="74" t="s">
        <v>312</v>
      </c>
      <c r="D482" s="74" t="s">
        <v>313</v>
      </c>
      <c r="E482" s="75" t="s">
        <v>303</v>
      </c>
      <c r="F482" s="76">
        <v>42266</v>
      </c>
      <c r="G482" s="76" t="s">
        <v>292</v>
      </c>
      <c r="H482" s="76" t="s">
        <v>314</v>
      </c>
      <c r="I482" s="74">
        <v>100</v>
      </c>
      <c r="J482" s="74">
        <v>1795</v>
      </c>
      <c r="K482" s="74">
        <v>847</v>
      </c>
      <c r="L482" s="74">
        <v>948</v>
      </c>
    </row>
    <row r="483" spans="1:12" x14ac:dyDescent="0.35">
      <c r="A483" s="74" t="s">
        <v>275</v>
      </c>
      <c r="B483" s="74" t="s">
        <v>283</v>
      </c>
      <c r="C483" s="74" t="s">
        <v>284</v>
      </c>
      <c r="D483" s="74" t="s">
        <v>285</v>
      </c>
      <c r="E483" s="75" t="s">
        <v>286</v>
      </c>
      <c r="F483" s="76">
        <v>42269</v>
      </c>
      <c r="G483" s="76" t="s">
        <v>301</v>
      </c>
      <c r="H483" s="76" t="s">
        <v>311</v>
      </c>
      <c r="I483" s="74">
        <v>400</v>
      </c>
      <c r="J483" s="74">
        <v>8592</v>
      </c>
      <c r="K483" s="74">
        <v>3936</v>
      </c>
      <c r="L483" s="74">
        <v>4656</v>
      </c>
    </row>
    <row r="484" spans="1:12" x14ac:dyDescent="0.35">
      <c r="A484" s="74" t="s">
        <v>282</v>
      </c>
      <c r="B484" s="74" t="s">
        <v>126</v>
      </c>
      <c r="C484" s="74" t="s">
        <v>312</v>
      </c>
      <c r="D484" s="74" t="s">
        <v>313</v>
      </c>
      <c r="E484" s="75" t="s">
        <v>286</v>
      </c>
      <c r="F484" s="76">
        <v>42272</v>
      </c>
      <c r="G484" s="76" t="s">
        <v>308</v>
      </c>
      <c r="H484" s="76" t="s">
        <v>314</v>
      </c>
      <c r="I484" s="74">
        <v>600</v>
      </c>
      <c r="J484" s="74">
        <v>12690</v>
      </c>
      <c r="K484" s="74">
        <v>5904</v>
      </c>
      <c r="L484" s="74">
        <v>6786</v>
      </c>
    </row>
    <row r="485" spans="1:12" x14ac:dyDescent="0.35">
      <c r="A485" s="74" t="s">
        <v>275</v>
      </c>
      <c r="B485" s="74" t="s">
        <v>283</v>
      </c>
      <c r="C485" s="74" t="s">
        <v>284</v>
      </c>
      <c r="D485" s="74" t="s">
        <v>285</v>
      </c>
      <c r="E485" s="75" t="s">
        <v>286</v>
      </c>
      <c r="F485" s="76">
        <v>42272</v>
      </c>
      <c r="G485" s="76" t="s">
        <v>308</v>
      </c>
      <c r="H485" s="76" t="s">
        <v>311</v>
      </c>
      <c r="I485" s="74">
        <v>300</v>
      </c>
      <c r="J485" s="74">
        <v>6582</v>
      </c>
      <c r="K485" s="74">
        <v>2952</v>
      </c>
      <c r="L485" s="74">
        <v>3630</v>
      </c>
    </row>
    <row r="486" spans="1:12" x14ac:dyDescent="0.35">
      <c r="A486" s="74" t="s">
        <v>275</v>
      </c>
      <c r="B486" s="74" t="s">
        <v>283</v>
      </c>
      <c r="C486" s="74" t="s">
        <v>284</v>
      </c>
      <c r="D486" s="74" t="s">
        <v>285</v>
      </c>
      <c r="E486" s="75" t="s">
        <v>286</v>
      </c>
      <c r="F486" s="76">
        <v>42273</v>
      </c>
      <c r="G486" s="76" t="s">
        <v>292</v>
      </c>
      <c r="H486" s="76" t="s">
        <v>319</v>
      </c>
      <c r="I486" s="74">
        <v>400</v>
      </c>
      <c r="J486" s="74">
        <v>9672</v>
      </c>
      <c r="K486" s="74">
        <v>3936</v>
      </c>
      <c r="L486" s="74">
        <v>5736</v>
      </c>
    </row>
    <row r="487" spans="1:12" x14ac:dyDescent="0.35">
      <c r="A487" s="74" t="s">
        <v>275</v>
      </c>
      <c r="B487" s="74" t="s">
        <v>283</v>
      </c>
      <c r="C487" s="74" t="s">
        <v>284</v>
      </c>
      <c r="D487" s="74" t="s">
        <v>285</v>
      </c>
      <c r="E487" s="75" t="s">
        <v>279</v>
      </c>
      <c r="F487" s="76">
        <v>42273</v>
      </c>
      <c r="G487" s="76" t="s">
        <v>292</v>
      </c>
      <c r="H487" s="76" t="s">
        <v>319</v>
      </c>
      <c r="I487" s="74">
        <v>900</v>
      </c>
      <c r="J487" s="74">
        <v>22014</v>
      </c>
      <c r="K487" s="74">
        <v>9198</v>
      </c>
      <c r="L487" s="74">
        <v>12816</v>
      </c>
    </row>
    <row r="488" spans="1:12" x14ac:dyDescent="0.35">
      <c r="A488" s="74" t="s">
        <v>289</v>
      </c>
      <c r="B488" s="74" t="s">
        <v>126</v>
      </c>
      <c r="C488" s="74" t="s">
        <v>290</v>
      </c>
      <c r="D488" s="74" t="s">
        <v>291</v>
      </c>
      <c r="E488" s="75" t="s">
        <v>303</v>
      </c>
      <c r="F488" s="76">
        <v>42274</v>
      </c>
      <c r="G488" s="76" t="s">
        <v>310</v>
      </c>
      <c r="H488" s="76" t="s">
        <v>323</v>
      </c>
      <c r="I488" s="74">
        <v>1000</v>
      </c>
      <c r="J488" s="74">
        <v>18530</v>
      </c>
      <c r="K488" s="74">
        <v>8470</v>
      </c>
      <c r="L488" s="74">
        <v>10060</v>
      </c>
    </row>
    <row r="489" spans="1:12" x14ac:dyDescent="0.35">
      <c r="A489" s="74" t="s">
        <v>305</v>
      </c>
      <c r="B489" s="74" t="s">
        <v>126</v>
      </c>
      <c r="C489" s="74" t="s">
        <v>306</v>
      </c>
      <c r="D489" s="74" t="s">
        <v>307</v>
      </c>
      <c r="E489" s="75" t="s">
        <v>286</v>
      </c>
      <c r="F489" s="76">
        <v>42274</v>
      </c>
      <c r="G489" s="76" t="s">
        <v>310</v>
      </c>
      <c r="H489" s="76" t="s">
        <v>309</v>
      </c>
      <c r="I489" s="74">
        <v>600</v>
      </c>
      <c r="J489" s="74">
        <v>14004</v>
      </c>
      <c r="K489" s="74">
        <v>5904</v>
      </c>
      <c r="L489" s="74">
        <v>8100</v>
      </c>
    </row>
    <row r="490" spans="1:12" x14ac:dyDescent="0.35">
      <c r="A490" s="74" t="s">
        <v>305</v>
      </c>
      <c r="B490" s="74" t="s">
        <v>126</v>
      </c>
      <c r="C490" s="74" t="s">
        <v>306</v>
      </c>
      <c r="D490" s="74" t="s">
        <v>307</v>
      </c>
      <c r="E490" s="75" t="s">
        <v>303</v>
      </c>
      <c r="F490" s="76">
        <v>42275</v>
      </c>
      <c r="G490" s="76" t="s">
        <v>318</v>
      </c>
      <c r="H490" s="76" t="s">
        <v>309</v>
      </c>
      <c r="I490" s="74">
        <v>700</v>
      </c>
      <c r="J490" s="74">
        <v>13139</v>
      </c>
      <c r="K490" s="74">
        <v>5929</v>
      </c>
      <c r="L490" s="74">
        <v>7210</v>
      </c>
    </row>
    <row r="491" spans="1:12" x14ac:dyDescent="0.35">
      <c r="A491" s="74" t="s">
        <v>298</v>
      </c>
      <c r="B491" s="74" t="s">
        <v>126</v>
      </c>
      <c r="C491" s="74" t="s">
        <v>329</v>
      </c>
      <c r="D491" s="74" t="s">
        <v>330</v>
      </c>
      <c r="E491" s="75" t="s">
        <v>303</v>
      </c>
      <c r="F491" s="76">
        <v>42276</v>
      </c>
      <c r="G491" s="76" t="s">
        <v>301</v>
      </c>
      <c r="H491" s="76" t="s">
        <v>331</v>
      </c>
      <c r="I491" s="74">
        <v>500</v>
      </c>
      <c r="J491" s="74">
        <v>8715</v>
      </c>
      <c r="K491" s="74">
        <v>4235</v>
      </c>
      <c r="L491" s="74">
        <v>4480</v>
      </c>
    </row>
    <row r="492" spans="1:12" x14ac:dyDescent="0.35">
      <c r="A492" s="74" t="s">
        <v>298</v>
      </c>
      <c r="B492" s="74" t="s">
        <v>283</v>
      </c>
      <c r="C492" s="74" t="s">
        <v>284</v>
      </c>
      <c r="D492" s="74" t="s">
        <v>285</v>
      </c>
      <c r="E492" s="75" t="s">
        <v>303</v>
      </c>
      <c r="F492" s="76">
        <v>42279</v>
      </c>
      <c r="G492" s="76" t="s">
        <v>308</v>
      </c>
      <c r="H492" s="76" t="s">
        <v>315</v>
      </c>
      <c r="I492" s="74">
        <v>400</v>
      </c>
      <c r="J492" s="74">
        <v>6944</v>
      </c>
      <c r="K492" s="74">
        <v>3388</v>
      </c>
      <c r="L492" s="74">
        <v>3556</v>
      </c>
    </row>
    <row r="493" spans="1:12" x14ac:dyDescent="0.35">
      <c r="A493" s="74" t="s">
        <v>305</v>
      </c>
      <c r="B493" s="74" t="s">
        <v>126</v>
      </c>
      <c r="C493" s="74" t="s">
        <v>306</v>
      </c>
      <c r="D493" s="74" t="s">
        <v>307</v>
      </c>
      <c r="E493" s="75" t="s">
        <v>279</v>
      </c>
      <c r="F493" s="76">
        <v>42280</v>
      </c>
      <c r="G493" s="76" t="s">
        <v>292</v>
      </c>
      <c r="H493" s="76" t="s">
        <v>309</v>
      </c>
      <c r="I493" s="74">
        <v>500</v>
      </c>
      <c r="J493" s="74">
        <v>12760</v>
      </c>
      <c r="K493" s="74">
        <v>5110</v>
      </c>
      <c r="L493" s="74">
        <v>7650</v>
      </c>
    </row>
    <row r="494" spans="1:12" x14ac:dyDescent="0.35">
      <c r="A494" s="74" t="s">
        <v>305</v>
      </c>
      <c r="B494" s="74" t="s">
        <v>126</v>
      </c>
      <c r="C494" s="74" t="s">
        <v>306</v>
      </c>
      <c r="D494" s="74" t="s">
        <v>307</v>
      </c>
      <c r="E494" s="75" t="s">
        <v>279</v>
      </c>
      <c r="F494" s="76">
        <v>42282</v>
      </c>
      <c r="G494" s="76" t="s">
        <v>318</v>
      </c>
      <c r="H494" s="76" t="s">
        <v>309</v>
      </c>
      <c r="I494" s="74">
        <v>1000</v>
      </c>
      <c r="J494" s="74">
        <v>24070</v>
      </c>
      <c r="K494" s="74">
        <v>10220</v>
      </c>
      <c r="L494" s="74">
        <v>13850</v>
      </c>
    </row>
    <row r="495" spans="1:12" x14ac:dyDescent="0.35">
      <c r="A495" s="74" t="s">
        <v>275</v>
      </c>
      <c r="B495" s="74" t="s">
        <v>276</v>
      </c>
      <c r="C495" s="74" t="s">
        <v>277</v>
      </c>
      <c r="D495" s="74" t="s">
        <v>278</v>
      </c>
      <c r="E495" s="75" t="s">
        <v>286</v>
      </c>
      <c r="F495" s="76">
        <v>42283</v>
      </c>
      <c r="G495" s="76" t="s">
        <v>301</v>
      </c>
      <c r="H495" s="76" t="s">
        <v>304</v>
      </c>
      <c r="I495" s="74">
        <v>200</v>
      </c>
      <c r="J495" s="74">
        <v>4186</v>
      </c>
      <c r="K495" s="74">
        <v>1968</v>
      </c>
      <c r="L495" s="74">
        <v>2218</v>
      </c>
    </row>
    <row r="496" spans="1:12" x14ac:dyDescent="0.35">
      <c r="A496" s="74" t="s">
        <v>282</v>
      </c>
      <c r="B496" s="74" t="s">
        <v>283</v>
      </c>
      <c r="C496" s="74" t="s">
        <v>284</v>
      </c>
      <c r="D496" s="74" t="s">
        <v>285</v>
      </c>
      <c r="E496" s="75" t="s">
        <v>303</v>
      </c>
      <c r="F496" s="76">
        <v>42284</v>
      </c>
      <c r="G496" s="76" t="s">
        <v>280</v>
      </c>
      <c r="H496" s="76" t="s">
        <v>288</v>
      </c>
      <c r="I496" s="74">
        <v>700</v>
      </c>
      <c r="J496" s="74">
        <v>13195</v>
      </c>
      <c r="K496" s="74">
        <v>5929</v>
      </c>
      <c r="L496" s="74">
        <v>7266</v>
      </c>
    </row>
    <row r="497" spans="1:12" x14ac:dyDescent="0.35">
      <c r="A497" s="74" t="s">
        <v>275</v>
      </c>
      <c r="B497" s="74" t="s">
        <v>283</v>
      </c>
      <c r="C497" s="74" t="s">
        <v>284</v>
      </c>
      <c r="D497" s="74" t="s">
        <v>285</v>
      </c>
      <c r="E497" s="75" t="s">
        <v>286</v>
      </c>
      <c r="F497" s="76">
        <v>42285</v>
      </c>
      <c r="G497" s="76" t="s">
        <v>287</v>
      </c>
      <c r="H497" s="76" t="s">
        <v>319</v>
      </c>
      <c r="I497" s="74">
        <v>200</v>
      </c>
      <c r="J497" s="74">
        <v>3922</v>
      </c>
      <c r="K497" s="74">
        <v>1694</v>
      </c>
      <c r="L497" s="74">
        <v>2228</v>
      </c>
    </row>
    <row r="498" spans="1:12" x14ac:dyDescent="0.35">
      <c r="A498" s="74" t="s">
        <v>298</v>
      </c>
      <c r="B498" s="74" t="s">
        <v>126</v>
      </c>
      <c r="C498" s="74" t="s">
        <v>329</v>
      </c>
      <c r="D498" s="74" t="s">
        <v>330</v>
      </c>
      <c r="E498" s="75" t="s">
        <v>286</v>
      </c>
      <c r="F498" s="76">
        <v>42286</v>
      </c>
      <c r="G498" s="76" t="s">
        <v>308</v>
      </c>
      <c r="H498" s="76" t="s">
        <v>331</v>
      </c>
      <c r="I498" s="74">
        <v>1000</v>
      </c>
      <c r="J498" s="74">
        <v>23970</v>
      </c>
      <c r="K498" s="74">
        <v>9840</v>
      </c>
      <c r="L498" s="74">
        <v>14130</v>
      </c>
    </row>
    <row r="499" spans="1:12" x14ac:dyDescent="0.35">
      <c r="A499" s="74" t="s">
        <v>305</v>
      </c>
      <c r="B499" s="74" t="s">
        <v>276</v>
      </c>
      <c r="C499" s="74" t="s">
        <v>336</v>
      </c>
      <c r="D499" s="74" t="s">
        <v>337</v>
      </c>
      <c r="E499" s="75" t="s">
        <v>303</v>
      </c>
      <c r="F499" s="76">
        <v>42288</v>
      </c>
      <c r="G499" s="76" t="s">
        <v>310</v>
      </c>
      <c r="H499" s="76" t="s">
        <v>338</v>
      </c>
      <c r="I499" s="74">
        <v>500</v>
      </c>
      <c r="J499" s="74">
        <v>8940</v>
      </c>
      <c r="K499" s="74">
        <v>4235</v>
      </c>
      <c r="L499" s="74">
        <v>4705</v>
      </c>
    </row>
    <row r="500" spans="1:12" x14ac:dyDescent="0.35">
      <c r="A500" s="74" t="s">
        <v>289</v>
      </c>
      <c r="B500" s="74" t="s">
        <v>126</v>
      </c>
      <c r="C500" s="74" t="s">
        <v>290</v>
      </c>
      <c r="D500" s="74" t="s">
        <v>291</v>
      </c>
      <c r="E500" s="75" t="s">
        <v>279</v>
      </c>
      <c r="F500" s="76">
        <v>42289</v>
      </c>
      <c r="G500" s="76" t="s">
        <v>318</v>
      </c>
      <c r="H500" s="76" t="s">
        <v>323</v>
      </c>
      <c r="I500" s="74">
        <v>200</v>
      </c>
      <c r="J500" s="74">
        <v>5002</v>
      </c>
      <c r="K500" s="74">
        <v>2044</v>
      </c>
      <c r="L500" s="74">
        <v>2958</v>
      </c>
    </row>
    <row r="501" spans="1:12" x14ac:dyDescent="0.35">
      <c r="A501" s="74" t="s">
        <v>325</v>
      </c>
      <c r="B501" s="74" t="s">
        <v>276</v>
      </c>
      <c r="C501" s="74" t="s">
        <v>320</v>
      </c>
      <c r="D501" s="74" t="s">
        <v>321</v>
      </c>
      <c r="E501" s="75" t="s">
        <v>303</v>
      </c>
      <c r="F501" s="76">
        <v>42291</v>
      </c>
      <c r="G501" s="76" t="s">
        <v>280</v>
      </c>
      <c r="H501" s="76" t="s">
        <v>339</v>
      </c>
      <c r="I501" s="74">
        <v>1000</v>
      </c>
      <c r="J501" s="74">
        <v>17190</v>
      </c>
      <c r="K501" s="74">
        <v>8470</v>
      </c>
      <c r="L501" s="74">
        <v>8720</v>
      </c>
    </row>
    <row r="502" spans="1:12" x14ac:dyDescent="0.35">
      <c r="A502" s="74" t="s">
        <v>282</v>
      </c>
      <c r="B502" s="74" t="s">
        <v>126</v>
      </c>
      <c r="C502" s="74" t="s">
        <v>312</v>
      </c>
      <c r="D502" s="74" t="s">
        <v>313</v>
      </c>
      <c r="E502" s="75" t="s">
        <v>279</v>
      </c>
      <c r="F502" s="76">
        <v>42293</v>
      </c>
      <c r="G502" s="76" t="s">
        <v>308</v>
      </c>
      <c r="H502" s="76" t="s">
        <v>314</v>
      </c>
      <c r="I502" s="74">
        <v>900</v>
      </c>
      <c r="J502" s="74">
        <v>21042</v>
      </c>
      <c r="K502" s="74">
        <v>9198</v>
      </c>
      <c r="L502" s="74">
        <v>11844</v>
      </c>
    </row>
    <row r="503" spans="1:12" x14ac:dyDescent="0.35">
      <c r="A503" s="74" t="s">
        <v>275</v>
      </c>
      <c r="B503" s="74" t="s">
        <v>283</v>
      </c>
      <c r="C503" s="74" t="s">
        <v>284</v>
      </c>
      <c r="D503" s="74" t="s">
        <v>285</v>
      </c>
      <c r="E503" s="75" t="s">
        <v>286</v>
      </c>
      <c r="F503" s="76">
        <v>42293</v>
      </c>
      <c r="G503" s="76" t="s">
        <v>308</v>
      </c>
      <c r="H503" s="76" t="s">
        <v>311</v>
      </c>
      <c r="I503" s="74">
        <v>500</v>
      </c>
      <c r="J503" s="74">
        <v>11530</v>
      </c>
      <c r="K503" s="74">
        <v>4920</v>
      </c>
      <c r="L503" s="74">
        <v>6610</v>
      </c>
    </row>
    <row r="504" spans="1:12" x14ac:dyDescent="0.35">
      <c r="A504" s="74" t="s">
        <v>275</v>
      </c>
      <c r="B504" s="74" t="s">
        <v>276</v>
      </c>
      <c r="C504" s="74" t="s">
        <v>320</v>
      </c>
      <c r="D504" s="74" t="s">
        <v>321</v>
      </c>
      <c r="E504" s="75" t="s">
        <v>303</v>
      </c>
      <c r="F504" s="76">
        <v>42294</v>
      </c>
      <c r="G504" s="76" t="s">
        <v>292</v>
      </c>
      <c r="H504" s="76" t="s">
        <v>345</v>
      </c>
      <c r="I504" s="74">
        <v>800</v>
      </c>
      <c r="J504" s="74">
        <v>15312</v>
      </c>
      <c r="K504" s="74">
        <v>6776</v>
      </c>
      <c r="L504" s="74">
        <v>8536</v>
      </c>
    </row>
    <row r="505" spans="1:12" x14ac:dyDescent="0.35">
      <c r="A505" s="74" t="s">
        <v>282</v>
      </c>
      <c r="B505" s="74" t="s">
        <v>283</v>
      </c>
      <c r="C505" s="74" t="s">
        <v>284</v>
      </c>
      <c r="D505" s="74" t="s">
        <v>285</v>
      </c>
      <c r="E505" s="75" t="s">
        <v>279</v>
      </c>
      <c r="F505" s="76">
        <v>42295</v>
      </c>
      <c r="G505" s="76" t="s">
        <v>310</v>
      </c>
      <c r="H505" s="76" t="s">
        <v>288</v>
      </c>
      <c r="I505" s="74">
        <v>900</v>
      </c>
      <c r="J505" s="74">
        <v>19161</v>
      </c>
      <c r="K505" s="74">
        <v>9198</v>
      </c>
      <c r="L505" s="74">
        <v>9963</v>
      </c>
    </row>
    <row r="506" spans="1:12" x14ac:dyDescent="0.35">
      <c r="A506" s="74" t="s">
        <v>298</v>
      </c>
      <c r="B506" s="74" t="s">
        <v>283</v>
      </c>
      <c r="C506" s="74" t="s">
        <v>284</v>
      </c>
      <c r="D506" s="74" t="s">
        <v>285</v>
      </c>
      <c r="E506" s="75" t="s">
        <v>279</v>
      </c>
      <c r="F506" s="76">
        <v>42296</v>
      </c>
      <c r="G506" s="76" t="s">
        <v>318</v>
      </c>
      <c r="H506" s="76" t="s">
        <v>315</v>
      </c>
      <c r="I506" s="74">
        <v>500</v>
      </c>
      <c r="J506" s="74">
        <v>10940</v>
      </c>
      <c r="K506" s="74">
        <v>5110</v>
      </c>
      <c r="L506" s="74">
        <v>5830</v>
      </c>
    </row>
    <row r="507" spans="1:12" x14ac:dyDescent="0.35">
      <c r="A507" s="74" t="s">
        <v>275</v>
      </c>
      <c r="B507" s="74" t="s">
        <v>276</v>
      </c>
      <c r="C507" s="74" t="s">
        <v>277</v>
      </c>
      <c r="D507" s="74" t="s">
        <v>278</v>
      </c>
      <c r="E507" s="75" t="s">
        <v>303</v>
      </c>
      <c r="F507" s="76">
        <v>42297</v>
      </c>
      <c r="G507" s="76" t="s">
        <v>301</v>
      </c>
      <c r="H507" s="76" t="s">
        <v>281</v>
      </c>
      <c r="I507" s="74">
        <v>1000</v>
      </c>
      <c r="J507" s="74">
        <v>21010</v>
      </c>
      <c r="K507" s="74">
        <v>8470</v>
      </c>
      <c r="L507" s="74">
        <v>12540</v>
      </c>
    </row>
    <row r="508" spans="1:12" x14ac:dyDescent="0.35">
      <c r="A508" s="74" t="s">
        <v>298</v>
      </c>
      <c r="B508" s="74" t="s">
        <v>126</v>
      </c>
      <c r="C508" s="74" t="s">
        <v>329</v>
      </c>
      <c r="D508" s="74" t="s">
        <v>330</v>
      </c>
      <c r="E508" s="75" t="s">
        <v>303</v>
      </c>
      <c r="F508" s="76">
        <v>42299</v>
      </c>
      <c r="G508" s="76" t="s">
        <v>287</v>
      </c>
      <c r="H508" s="76" t="s">
        <v>331</v>
      </c>
      <c r="I508" s="74">
        <v>900</v>
      </c>
      <c r="J508" s="74">
        <v>18576</v>
      </c>
      <c r="K508" s="74">
        <v>7623</v>
      </c>
      <c r="L508" s="74">
        <v>10953</v>
      </c>
    </row>
    <row r="509" spans="1:12" x14ac:dyDescent="0.35">
      <c r="A509" s="74" t="s">
        <v>298</v>
      </c>
      <c r="B509" s="74" t="s">
        <v>283</v>
      </c>
      <c r="C509" s="74" t="s">
        <v>284</v>
      </c>
      <c r="D509" s="74" t="s">
        <v>285</v>
      </c>
      <c r="E509" s="75" t="s">
        <v>286</v>
      </c>
      <c r="F509" s="76">
        <v>42299</v>
      </c>
      <c r="G509" s="76" t="s">
        <v>287</v>
      </c>
      <c r="H509" s="76" t="s">
        <v>315</v>
      </c>
      <c r="I509" s="74">
        <v>200</v>
      </c>
      <c r="J509" s="74">
        <v>4484</v>
      </c>
      <c r="K509" s="74">
        <v>1968</v>
      </c>
      <c r="L509" s="74">
        <v>2516</v>
      </c>
    </row>
    <row r="510" spans="1:12" x14ac:dyDescent="0.35">
      <c r="A510" s="74" t="s">
        <v>275</v>
      </c>
      <c r="B510" s="74" t="s">
        <v>283</v>
      </c>
      <c r="C510" s="74" t="s">
        <v>284</v>
      </c>
      <c r="D510" s="74" t="s">
        <v>285</v>
      </c>
      <c r="E510" s="75" t="s">
        <v>286</v>
      </c>
      <c r="F510" s="76">
        <v>42299</v>
      </c>
      <c r="G510" s="76" t="s">
        <v>287</v>
      </c>
      <c r="H510" s="76" t="s">
        <v>319</v>
      </c>
      <c r="I510" s="74">
        <v>700</v>
      </c>
      <c r="J510" s="74">
        <v>13797</v>
      </c>
      <c r="K510" s="74">
        <v>6888</v>
      </c>
      <c r="L510" s="74">
        <v>6909</v>
      </c>
    </row>
    <row r="511" spans="1:12" x14ac:dyDescent="0.35">
      <c r="A511" s="74" t="s">
        <v>298</v>
      </c>
      <c r="B511" s="74" t="s">
        <v>283</v>
      </c>
      <c r="C511" s="74" t="s">
        <v>284</v>
      </c>
      <c r="D511" s="74" t="s">
        <v>285</v>
      </c>
      <c r="E511" s="75" t="s">
        <v>303</v>
      </c>
      <c r="F511" s="76">
        <v>42300</v>
      </c>
      <c r="G511" s="76" t="s">
        <v>308</v>
      </c>
      <c r="H511" s="76" t="s">
        <v>315</v>
      </c>
      <c r="I511" s="74">
        <v>700</v>
      </c>
      <c r="J511" s="74">
        <v>12131</v>
      </c>
      <c r="K511" s="74">
        <v>5929</v>
      </c>
      <c r="L511" s="74">
        <v>6202</v>
      </c>
    </row>
    <row r="512" spans="1:12" x14ac:dyDescent="0.35">
      <c r="A512" s="74" t="s">
        <v>289</v>
      </c>
      <c r="B512" s="74" t="s">
        <v>126</v>
      </c>
      <c r="C512" s="74" t="s">
        <v>290</v>
      </c>
      <c r="D512" s="74" t="s">
        <v>291</v>
      </c>
      <c r="E512" s="75" t="s">
        <v>286</v>
      </c>
      <c r="F512" s="76">
        <v>42302</v>
      </c>
      <c r="G512" s="76" t="s">
        <v>310</v>
      </c>
      <c r="H512" s="76" t="s">
        <v>323</v>
      </c>
      <c r="I512" s="74">
        <v>500</v>
      </c>
      <c r="J512" s="74">
        <v>11250</v>
      </c>
      <c r="K512" s="74">
        <v>4920</v>
      </c>
      <c r="L512" s="74">
        <v>6330</v>
      </c>
    </row>
    <row r="513" spans="1:12" x14ac:dyDescent="0.35">
      <c r="A513" s="74" t="s">
        <v>298</v>
      </c>
      <c r="B513" s="74" t="s">
        <v>283</v>
      </c>
      <c r="C513" s="74" t="s">
        <v>284</v>
      </c>
      <c r="D513" s="74" t="s">
        <v>285</v>
      </c>
      <c r="E513" s="75" t="s">
        <v>286</v>
      </c>
      <c r="F513" s="76">
        <v>42303</v>
      </c>
      <c r="G513" s="76" t="s">
        <v>318</v>
      </c>
      <c r="H513" s="76" t="s">
        <v>315</v>
      </c>
      <c r="I513" s="74">
        <v>500</v>
      </c>
      <c r="J513" s="74">
        <v>11430</v>
      </c>
      <c r="K513" s="74">
        <v>4920</v>
      </c>
      <c r="L513" s="74">
        <v>6510</v>
      </c>
    </row>
    <row r="514" spans="1:12" x14ac:dyDescent="0.35">
      <c r="A514" s="74" t="s">
        <v>275</v>
      </c>
      <c r="B514" s="74" t="s">
        <v>276</v>
      </c>
      <c r="C514" s="74" t="s">
        <v>277</v>
      </c>
      <c r="D514" s="74" t="s">
        <v>278</v>
      </c>
      <c r="E514" s="75" t="s">
        <v>279</v>
      </c>
      <c r="F514" s="76">
        <v>42306</v>
      </c>
      <c r="G514" s="76" t="s">
        <v>287</v>
      </c>
      <c r="H514" s="76" t="s">
        <v>304</v>
      </c>
      <c r="I514" s="74">
        <v>100</v>
      </c>
      <c r="J514" s="74">
        <v>2234</v>
      </c>
      <c r="K514" s="74">
        <v>1022</v>
      </c>
      <c r="L514" s="74">
        <v>1212</v>
      </c>
    </row>
    <row r="515" spans="1:12" x14ac:dyDescent="0.35">
      <c r="A515" s="74" t="s">
        <v>282</v>
      </c>
      <c r="B515" s="74" t="s">
        <v>283</v>
      </c>
      <c r="C515" s="74" t="s">
        <v>284</v>
      </c>
      <c r="D515" s="74" t="s">
        <v>285</v>
      </c>
      <c r="E515" s="75" t="s">
        <v>279</v>
      </c>
      <c r="F515" s="76">
        <v>42308</v>
      </c>
      <c r="G515" s="76" t="s">
        <v>292</v>
      </c>
      <c r="H515" s="76" t="s">
        <v>288</v>
      </c>
      <c r="I515" s="74">
        <v>100</v>
      </c>
      <c r="J515" s="74">
        <v>2092</v>
      </c>
      <c r="K515" s="74">
        <v>1022</v>
      </c>
      <c r="L515" s="74">
        <v>1070</v>
      </c>
    </row>
    <row r="516" spans="1:12" x14ac:dyDescent="0.35">
      <c r="A516" s="74" t="s">
        <v>289</v>
      </c>
      <c r="B516" s="74" t="s">
        <v>126</v>
      </c>
      <c r="C516" s="74" t="s">
        <v>290</v>
      </c>
      <c r="D516" s="74" t="s">
        <v>291</v>
      </c>
      <c r="E516" s="75" t="s">
        <v>279</v>
      </c>
      <c r="F516" s="76">
        <v>42308</v>
      </c>
      <c r="G516" s="76" t="s">
        <v>292</v>
      </c>
      <c r="H516" s="76" t="s">
        <v>323</v>
      </c>
      <c r="I516" s="74">
        <v>600</v>
      </c>
      <c r="J516" s="74">
        <v>13818</v>
      </c>
      <c r="K516" s="74">
        <v>6132</v>
      </c>
      <c r="L516" s="74">
        <v>7686</v>
      </c>
    </row>
    <row r="517" spans="1:12" x14ac:dyDescent="0.35">
      <c r="A517" s="74" t="s">
        <v>305</v>
      </c>
      <c r="B517" s="74" t="s">
        <v>276</v>
      </c>
      <c r="C517" s="74" t="s">
        <v>336</v>
      </c>
      <c r="D517" s="74" t="s">
        <v>337</v>
      </c>
      <c r="E517" s="75" t="s">
        <v>279</v>
      </c>
      <c r="F517" s="76">
        <v>42312</v>
      </c>
      <c r="G517" s="76" t="s">
        <v>280</v>
      </c>
      <c r="H517" s="76" t="s">
        <v>338</v>
      </c>
      <c r="I517" s="74">
        <v>600</v>
      </c>
      <c r="J517" s="74">
        <v>12612</v>
      </c>
      <c r="K517" s="74">
        <v>6132</v>
      </c>
      <c r="L517" s="74">
        <v>6480</v>
      </c>
    </row>
    <row r="518" spans="1:12" x14ac:dyDescent="0.35">
      <c r="A518" s="74" t="s">
        <v>298</v>
      </c>
      <c r="B518" s="74" t="s">
        <v>283</v>
      </c>
      <c r="C518" s="74" t="s">
        <v>284</v>
      </c>
      <c r="D518" s="74" t="s">
        <v>285</v>
      </c>
      <c r="E518" s="75" t="s">
        <v>303</v>
      </c>
      <c r="F518" s="76">
        <v>42313</v>
      </c>
      <c r="G518" s="76" t="s">
        <v>287</v>
      </c>
      <c r="H518" s="76" t="s">
        <v>341</v>
      </c>
      <c r="I518" s="74">
        <v>800</v>
      </c>
      <c r="J518" s="74">
        <v>15104</v>
      </c>
      <c r="K518" s="74">
        <v>6776</v>
      </c>
      <c r="L518" s="74">
        <v>8328</v>
      </c>
    </row>
    <row r="519" spans="1:12" x14ac:dyDescent="0.35">
      <c r="A519" s="74" t="s">
        <v>289</v>
      </c>
      <c r="B519" s="74" t="s">
        <v>126</v>
      </c>
      <c r="C519" s="74" t="s">
        <v>290</v>
      </c>
      <c r="D519" s="74" t="s">
        <v>291</v>
      </c>
      <c r="E519" s="75" t="s">
        <v>279</v>
      </c>
      <c r="F519" s="76">
        <v>42316</v>
      </c>
      <c r="G519" s="76" t="s">
        <v>310</v>
      </c>
      <c r="H519" s="76" t="s">
        <v>323</v>
      </c>
      <c r="I519" s="74">
        <v>700</v>
      </c>
      <c r="J519" s="74">
        <v>16576</v>
      </c>
      <c r="K519" s="74">
        <v>7154</v>
      </c>
      <c r="L519" s="74">
        <v>9422</v>
      </c>
    </row>
    <row r="520" spans="1:12" x14ac:dyDescent="0.35">
      <c r="A520" s="74" t="s">
        <v>275</v>
      </c>
      <c r="B520" s="74" t="s">
        <v>276</v>
      </c>
      <c r="C520" s="74" t="s">
        <v>277</v>
      </c>
      <c r="D520" s="74" t="s">
        <v>278</v>
      </c>
      <c r="E520" s="75" t="s">
        <v>279</v>
      </c>
      <c r="F520" s="76">
        <v>42317</v>
      </c>
      <c r="G520" s="76" t="s">
        <v>318</v>
      </c>
      <c r="H520" s="76" t="s">
        <v>304</v>
      </c>
      <c r="I520" s="74">
        <v>700</v>
      </c>
      <c r="J520" s="74">
        <v>17059</v>
      </c>
      <c r="K520" s="74">
        <v>7154</v>
      </c>
      <c r="L520" s="74">
        <v>9905</v>
      </c>
    </row>
    <row r="521" spans="1:12" x14ac:dyDescent="0.35">
      <c r="A521" s="74" t="s">
        <v>298</v>
      </c>
      <c r="B521" s="74" t="s">
        <v>283</v>
      </c>
      <c r="C521" s="74" t="s">
        <v>284</v>
      </c>
      <c r="D521" s="74" t="s">
        <v>285</v>
      </c>
      <c r="E521" s="75" t="s">
        <v>286</v>
      </c>
      <c r="F521" s="76">
        <v>42321</v>
      </c>
      <c r="G521" s="76" t="s">
        <v>308</v>
      </c>
      <c r="H521" s="76" t="s">
        <v>315</v>
      </c>
      <c r="I521" s="74">
        <v>800</v>
      </c>
      <c r="J521" s="74">
        <v>19424</v>
      </c>
      <c r="K521" s="74">
        <v>7872</v>
      </c>
      <c r="L521" s="74">
        <v>11552</v>
      </c>
    </row>
    <row r="522" spans="1:12" x14ac:dyDescent="0.35">
      <c r="A522" s="74" t="s">
        <v>305</v>
      </c>
      <c r="B522" s="74" t="s">
        <v>126</v>
      </c>
      <c r="C522" s="74" t="s">
        <v>306</v>
      </c>
      <c r="D522" s="74" t="s">
        <v>307</v>
      </c>
      <c r="E522" s="75" t="s">
        <v>286</v>
      </c>
      <c r="F522" s="76">
        <v>42321</v>
      </c>
      <c r="G522" s="76" t="s">
        <v>308</v>
      </c>
      <c r="H522" s="76" t="s">
        <v>309</v>
      </c>
      <c r="I522" s="74">
        <v>700</v>
      </c>
      <c r="J522" s="74">
        <v>14784</v>
      </c>
      <c r="K522" s="74">
        <v>6888</v>
      </c>
      <c r="L522" s="74">
        <v>7896</v>
      </c>
    </row>
    <row r="523" spans="1:12" x14ac:dyDescent="0.35">
      <c r="A523" s="74" t="s">
        <v>275</v>
      </c>
      <c r="B523" s="74" t="s">
        <v>276</v>
      </c>
      <c r="C523" s="74" t="s">
        <v>277</v>
      </c>
      <c r="D523" s="74" t="s">
        <v>278</v>
      </c>
      <c r="E523" s="75" t="s">
        <v>286</v>
      </c>
      <c r="F523" s="76">
        <v>42322</v>
      </c>
      <c r="G523" s="76" t="s">
        <v>292</v>
      </c>
      <c r="H523" s="76" t="s">
        <v>281</v>
      </c>
      <c r="I523" s="74">
        <v>1000</v>
      </c>
      <c r="J523" s="74">
        <v>21740</v>
      </c>
      <c r="K523" s="74">
        <v>9840</v>
      </c>
      <c r="L523" s="74">
        <v>11900</v>
      </c>
    </row>
    <row r="524" spans="1:12" x14ac:dyDescent="0.35">
      <c r="A524" s="74" t="s">
        <v>275</v>
      </c>
      <c r="B524" s="74" t="s">
        <v>276</v>
      </c>
      <c r="C524" s="74" t="s">
        <v>277</v>
      </c>
      <c r="D524" s="74" t="s">
        <v>278</v>
      </c>
      <c r="E524" s="75" t="s">
        <v>286</v>
      </c>
      <c r="F524" s="76">
        <v>42323</v>
      </c>
      <c r="G524" s="76" t="s">
        <v>310</v>
      </c>
      <c r="H524" s="76" t="s">
        <v>281</v>
      </c>
      <c r="I524" s="74">
        <v>900</v>
      </c>
      <c r="J524" s="74">
        <v>19674</v>
      </c>
      <c r="K524" s="74">
        <v>8856</v>
      </c>
      <c r="L524" s="74">
        <v>10818</v>
      </c>
    </row>
    <row r="525" spans="1:12" x14ac:dyDescent="0.35">
      <c r="A525" s="74" t="s">
        <v>305</v>
      </c>
      <c r="B525" s="74" t="s">
        <v>126</v>
      </c>
      <c r="C525" s="74" t="s">
        <v>306</v>
      </c>
      <c r="D525" s="74" t="s">
        <v>307</v>
      </c>
      <c r="E525" s="75" t="s">
        <v>303</v>
      </c>
      <c r="F525" s="76">
        <v>42323</v>
      </c>
      <c r="G525" s="76" t="s">
        <v>310</v>
      </c>
      <c r="H525" s="76" t="s">
        <v>309</v>
      </c>
      <c r="I525" s="74">
        <v>500</v>
      </c>
      <c r="J525" s="74">
        <v>8970</v>
      </c>
      <c r="K525" s="74">
        <v>4235</v>
      </c>
      <c r="L525" s="74">
        <v>4735</v>
      </c>
    </row>
    <row r="526" spans="1:12" x14ac:dyDescent="0.35">
      <c r="A526" s="74" t="s">
        <v>275</v>
      </c>
      <c r="B526" s="74" t="s">
        <v>276</v>
      </c>
      <c r="C526" s="74" t="s">
        <v>277</v>
      </c>
      <c r="D526" s="74" t="s">
        <v>278</v>
      </c>
      <c r="E526" s="75" t="s">
        <v>279</v>
      </c>
      <c r="F526" s="76">
        <v>42325</v>
      </c>
      <c r="G526" s="76" t="s">
        <v>301</v>
      </c>
      <c r="H526" s="76" t="s">
        <v>304</v>
      </c>
      <c r="I526" s="74">
        <v>600</v>
      </c>
      <c r="J526" s="74">
        <v>13680</v>
      </c>
      <c r="K526" s="74">
        <v>6132</v>
      </c>
      <c r="L526" s="74">
        <v>7548</v>
      </c>
    </row>
    <row r="527" spans="1:12" x14ac:dyDescent="0.35">
      <c r="A527" s="74" t="s">
        <v>298</v>
      </c>
      <c r="B527" s="74" t="s">
        <v>283</v>
      </c>
      <c r="C527" s="74" t="s">
        <v>284</v>
      </c>
      <c r="D527" s="74" t="s">
        <v>285</v>
      </c>
      <c r="E527" s="75" t="s">
        <v>286</v>
      </c>
      <c r="F527" s="76">
        <v>42327</v>
      </c>
      <c r="G527" s="76" t="s">
        <v>287</v>
      </c>
      <c r="H527" s="76" t="s">
        <v>315</v>
      </c>
      <c r="I527" s="74">
        <v>800</v>
      </c>
      <c r="J527" s="74">
        <v>17136</v>
      </c>
      <c r="K527" s="74">
        <v>7872</v>
      </c>
      <c r="L527" s="74">
        <v>9264</v>
      </c>
    </row>
    <row r="528" spans="1:12" x14ac:dyDescent="0.35">
      <c r="A528" s="74" t="s">
        <v>305</v>
      </c>
      <c r="B528" s="74" t="s">
        <v>126</v>
      </c>
      <c r="C528" s="74" t="s">
        <v>306</v>
      </c>
      <c r="D528" s="74" t="s">
        <v>307</v>
      </c>
      <c r="E528" s="75" t="s">
        <v>303</v>
      </c>
      <c r="F528" s="76">
        <v>42328</v>
      </c>
      <c r="G528" s="76" t="s">
        <v>308</v>
      </c>
      <c r="H528" s="76" t="s">
        <v>309</v>
      </c>
      <c r="I528" s="74">
        <v>400</v>
      </c>
      <c r="J528" s="74">
        <v>6880</v>
      </c>
      <c r="K528" s="74">
        <v>3388</v>
      </c>
      <c r="L528" s="74">
        <v>3492</v>
      </c>
    </row>
    <row r="529" spans="1:12" x14ac:dyDescent="0.35">
      <c r="A529" s="74" t="s">
        <v>275</v>
      </c>
      <c r="B529" s="74" t="s">
        <v>276</v>
      </c>
      <c r="C529" s="74" t="s">
        <v>277</v>
      </c>
      <c r="D529" s="74" t="s">
        <v>278</v>
      </c>
      <c r="E529" s="75" t="s">
        <v>286</v>
      </c>
      <c r="F529" s="76">
        <v>42329</v>
      </c>
      <c r="G529" s="76" t="s">
        <v>292</v>
      </c>
      <c r="H529" s="76" t="s">
        <v>304</v>
      </c>
      <c r="I529" s="74">
        <v>500</v>
      </c>
      <c r="J529" s="74">
        <v>11330</v>
      </c>
      <c r="K529" s="74">
        <v>4920</v>
      </c>
      <c r="L529" s="74">
        <v>6410</v>
      </c>
    </row>
    <row r="530" spans="1:12" x14ac:dyDescent="0.35">
      <c r="A530" s="74" t="s">
        <v>289</v>
      </c>
      <c r="B530" s="74" t="s">
        <v>126</v>
      </c>
      <c r="C530" s="74" t="s">
        <v>290</v>
      </c>
      <c r="D530" s="74" t="s">
        <v>291</v>
      </c>
      <c r="E530" s="75" t="s">
        <v>286</v>
      </c>
      <c r="F530" s="76">
        <v>42330</v>
      </c>
      <c r="G530" s="76" t="s">
        <v>310</v>
      </c>
      <c r="H530" s="76" t="s">
        <v>323</v>
      </c>
      <c r="I530" s="74">
        <v>200</v>
      </c>
      <c r="J530" s="74">
        <v>4412</v>
      </c>
      <c r="K530" s="74">
        <v>1968</v>
      </c>
      <c r="L530" s="74">
        <v>2444</v>
      </c>
    </row>
    <row r="531" spans="1:12" x14ac:dyDescent="0.35">
      <c r="A531" s="74" t="s">
        <v>298</v>
      </c>
      <c r="B531" s="74" t="s">
        <v>283</v>
      </c>
      <c r="C531" s="74" t="s">
        <v>284</v>
      </c>
      <c r="D531" s="74" t="s">
        <v>285</v>
      </c>
      <c r="E531" s="75" t="s">
        <v>286</v>
      </c>
      <c r="F531" s="76">
        <v>42331</v>
      </c>
      <c r="G531" s="76" t="s">
        <v>318</v>
      </c>
      <c r="H531" s="76" t="s">
        <v>315</v>
      </c>
      <c r="I531" s="74">
        <v>400</v>
      </c>
      <c r="J531" s="74">
        <v>9484</v>
      </c>
      <c r="K531" s="74">
        <v>3936</v>
      </c>
      <c r="L531" s="74">
        <v>5548</v>
      </c>
    </row>
    <row r="532" spans="1:12" x14ac:dyDescent="0.35">
      <c r="A532" s="74" t="s">
        <v>298</v>
      </c>
      <c r="B532" s="74" t="s">
        <v>283</v>
      </c>
      <c r="C532" s="74" t="s">
        <v>284</v>
      </c>
      <c r="D532" s="74" t="s">
        <v>285</v>
      </c>
      <c r="E532" s="75" t="s">
        <v>286</v>
      </c>
      <c r="F532" s="76">
        <v>42332</v>
      </c>
      <c r="G532" s="76" t="s">
        <v>301</v>
      </c>
      <c r="H532" s="76" t="s">
        <v>315</v>
      </c>
      <c r="I532" s="74">
        <v>400</v>
      </c>
      <c r="J532" s="74">
        <v>8204</v>
      </c>
      <c r="K532" s="74">
        <v>3936</v>
      </c>
      <c r="L532" s="74">
        <v>4268</v>
      </c>
    </row>
    <row r="533" spans="1:12" x14ac:dyDescent="0.35">
      <c r="A533" s="74" t="s">
        <v>305</v>
      </c>
      <c r="B533" s="74" t="s">
        <v>128</v>
      </c>
      <c r="C533" s="74" t="s">
        <v>342</v>
      </c>
      <c r="D533" s="74" t="s">
        <v>343</v>
      </c>
      <c r="E533" s="75" t="s">
        <v>279</v>
      </c>
      <c r="F533" s="76">
        <v>42333</v>
      </c>
      <c r="G533" s="76" t="s">
        <v>280</v>
      </c>
      <c r="H533" s="76" t="s">
        <v>344</v>
      </c>
      <c r="I533" s="74">
        <v>400</v>
      </c>
      <c r="J533" s="74">
        <v>8556</v>
      </c>
      <c r="K533" s="74">
        <v>4088</v>
      </c>
      <c r="L533" s="74">
        <v>4468</v>
      </c>
    </row>
    <row r="534" spans="1:12" x14ac:dyDescent="0.35">
      <c r="A534" s="74" t="s">
        <v>298</v>
      </c>
      <c r="B534" s="74" t="s">
        <v>283</v>
      </c>
      <c r="C534" s="74" t="s">
        <v>284</v>
      </c>
      <c r="D534" s="74" t="s">
        <v>285</v>
      </c>
      <c r="E534" s="75" t="s">
        <v>286</v>
      </c>
      <c r="F534" s="76">
        <v>42336</v>
      </c>
      <c r="G534" s="76" t="s">
        <v>292</v>
      </c>
      <c r="H534" s="76" t="s">
        <v>315</v>
      </c>
      <c r="I534" s="74">
        <v>400</v>
      </c>
      <c r="J534" s="74">
        <v>8464</v>
      </c>
      <c r="K534" s="74">
        <v>3936</v>
      </c>
      <c r="L534" s="74">
        <v>4528</v>
      </c>
    </row>
    <row r="535" spans="1:12" x14ac:dyDescent="0.35">
      <c r="A535" s="74" t="s">
        <v>275</v>
      </c>
      <c r="B535" s="74" t="s">
        <v>276</v>
      </c>
      <c r="C535" s="74" t="s">
        <v>277</v>
      </c>
      <c r="D535" s="74" t="s">
        <v>278</v>
      </c>
      <c r="E535" s="75" t="s">
        <v>279</v>
      </c>
      <c r="F535" s="76">
        <v>42336</v>
      </c>
      <c r="G535" s="76" t="s">
        <v>292</v>
      </c>
      <c r="H535" s="76" t="s">
        <v>304</v>
      </c>
      <c r="I535" s="74">
        <v>500</v>
      </c>
      <c r="J535" s="74">
        <v>11470</v>
      </c>
      <c r="K535" s="74">
        <v>5110</v>
      </c>
      <c r="L535" s="74">
        <v>6360</v>
      </c>
    </row>
    <row r="536" spans="1:12" x14ac:dyDescent="0.35">
      <c r="A536" s="74" t="s">
        <v>282</v>
      </c>
      <c r="B536" s="74" t="s">
        <v>126</v>
      </c>
      <c r="C536" s="74" t="s">
        <v>312</v>
      </c>
      <c r="D536" s="74" t="s">
        <v>313</v>
      </c>
      <c r="E536" s="75" t="s">
        <v>286</v>
      </c>
      <c r="F536" s="76">
        <v>42337</v>
      </c>
      <c r="G536" s="76" t="s">
        <v>310</v>
      </c>
      <c r="H536" s="76" t="s">
        <v>314</v>
      </c>
      <c r="I536" s="74">
        <v>600</v>
      </c>
      <c r="J536" s="74">
        <v>14154</v>
      </c>
      <c r="K536" s="74">
        <v>5904</v>
      </c>
      <c r="L536" s="74">
        <v>8250</v>
      </c>
    </row>
    <row r="537" spans="1:12" x14ac:dyDescent="0.35">
      <c r="A537" s="74" t="s">
        <v>305</v>
      </c>
      <c r="B537" s="74" t="s">
        <v>126</v>
      </c>
      <c r="C537" s="74" t="s">
        <v>306</v>
      </c>
      <c r="D537" s="74" t="s">
        <v>307</v>
      </c>
      <c r="E537" s="75" t="s">
        <v>286</v>
      </c>
      <c r="F537" s="76">
        <v>42338</v>
      </c>
      <c r="G537" s="76" t="s">
        <v>318</v>
      </c>
      <c r="H537" s="76" t="s">
        <v>309</v>
      </c>
      <c r="I537" s="74">
        <v>800</v>
      </c>
      <c r="J537" s="74">
        <v>19280</v>
      </c>
      <c r="K537" s="74">
        <v>7872</v>
      </c>
      <c r="L537" s="74">
        <v>11408</v>
      </c>
    </row>
    <row r="538" spans="1:12" x14ac:dyDescent="0.35">
      <c r="A538" s="74" t="s">
        <v>275</v>
      </c>
      <c r="B538" s="74" t="s">
        <v>276</v>
      </c>
      <c r="C538" s="74" t="s">
        <v>277</v>
      </c>
      <c r="D538" s="74" t="s">
        <v>278</v>
      </c>
      <c r="E538" s="75" t="s">
        <v>279</v>
      </c>
      <c r="F538" s="76">
        <v>42339</v>
      </c>
      <c r="G538" s="76" t="s">
        <v>301</v>
      </c>
      <c r="H538" s="76" t="s">
        <v>304</v>
      </c>
      <c r="I538" s="74">
        <v>900</v>
      </c>
      <c r="J538" s="74">
        <v>22887</v>
      </c>
      <c r="K538" s="74">
        <v>9198</v>
      </c>
      <c r="L538" s="74">
        <v>13689</v>
      </c>
    </row>
    <row r="539" spans="1:12" x14ac:dyDescent="0.35">
      <c r="A539" s="74" t="s">
        <v>282</v>
      </c>
      <c r="B539" s="74" t="s">
        <v>283</v>
      </c>
      <c r="C539" s="74" t="s">
        <v>284</v>
      </c>
      <c r="D539" s="74" t="s">
        <v>285</v>
      </c>
      <c r="E539" s="75" t="s">
        <v>279</v>
      </c>
      <c r="F539" s="76">
        <v>42340</v>
      </c>
      <c r="G539" s="76" t="s">
        <v>280</v>
      </c>
      <c r="H539" s="76" t="s">
        <v>288</v>
      </c>
      <c r="I539" s="74">
        <v>600</v>
      </c>
      <c r="J539" s="74">
        <v>13290</v>
      </c>
      <c r="K539" s="74">
        <v>6132</v>
      </c>
      <c r="L539" s="74">
        <v>7158</v>
      </c>
    </row>
    <row r="540" spans="1:12" x14ac:dyDescent="0.35">
      <c r="A540" s="74" t="s">
        <v>289</v>
      </c>
      <c r="B540" s="74" t="s">
        <v>126</v>
      </c>
      <c r="C540" s="74" t="s">
        <v>290</v>
      </c>
      <c r="D540" s="74" t="s">
        <v>291</v>
      </c>
      <c r="E540" s="75" t="s">
        <v>286</v>
      </c>
      <c r="F540" s="76">
        <v>42340</v>
      </c>
      <c r="G540" s="76" t="s">
        <v>280</v>
      </c>
      <c r="H540" s="76" t="s">
        <v>323</v>
      </c>
      <c r="I540" s="74">
        <v>1000</v>
      </c>
      <c r="J540" s="74">
        <v>20840</v>
      </c>
      <c r="K540" s="74">
        <v>9840</v>
      </c>
      <c r="L540" s="74">
        <v>11000</v>
      </c>
    </row>
    <row r="541" spans="1:12" x14ac:dyDescent="0.35">
      <c r="A541" s="74" t="s">
        <v>298</v>
      </c>
      <c r="B541" s="74" t="s">
        <v>128</v>
      </c>
      <c r="C541" s="74" t="s">
        <v>299</v>
      </c>
      <c r="D541" s="74" t="s">
        <v>300</v>
      </c>
      <c r="E541" s="75" t="s">
        <v>279</v>
      </c>
      <c r="F541" s="76">
        <v>42343</v>
      </c>
      <c r="G541" s="76" t="s">
        <v>292</v>
      </c>
      <c r="H541" s="76" t="s">
        <v>302</v>
      </c>
      <c r="I541" s="74">
        <v>800</v>
      </c>
      <c r="J541" s="74">
        <v>19544</v>
      </c>
      <c r="K541" s="74">
        <v>8176</v>
      </c>
      <c r="L541" s="74">
        <v>11368</v>
      </c>
    </row>
    <row r="542" spans="1:12" x14ac:dyDescent="0.35">
      <c r="A542" s="74" t="s">
        <v>298</v>
      </c>
      <c r="B542" s="74" t="s">
        <v>283</v>
      </c>
      <c r="C542" s="74" t="s">
        <v>284</v>
      </c>
      <c r="D542" s="74" t="s">
        <v>285</v>
      </c>
      <c r="E542" s="75" t="s">
        <v>279</v>
      </c>
      <c r="F542" s="76">
        <v>42343</v>
      </c>
      <c r="G542" s="76" t="s">
        <v>292</v>
      </c>
      <c r="H542" s="76" t="s">
        <v>315</v>
      </c>
      <c r="I542" s="74">
        <v>400</v>
      </c>
      <c r="J542" s="74">
        <v>8284</v>
      </c>
      <c r="K542" s="74">
        <v>4088</v>
      </c>
      <c r="L542" s="74">
        <v>4196</v>
      </c>
    </row>
    <row r="543" spans="1:12" x14ac:dyDescent="0.35">
      <c r="A543" s="74" t="s">
        <v>275</v>
      </c>
      <c r="B543" s="74" t="s">
        <v>276</v>
      </c>
      <c r="C543" s="74" t="s">
        <v>277</v>
      </c>
      <c r="D543" s="74" t="s">
        <v>278</v>
      </c>
      <c r="E543" s="75" t="s">
        <v>279</v>
      </c>
      <c r="F543" s="76">
        <v>42343</v>
      </c>
      <c r="G543" s="76" t="s">
        <v>292</v>
      </c>
      <c r="H543" s="76" t="s">
        <v>281</v>
      </c>
      <c r="I543" s="74">
        <v>800</v>
      </c>
      <c r="J543" s="74">
        <v>17496</v>
      </c>
      <c r="K543" s="74">
        <v>8176</v>
      </c>
      <c r="L543" s="74">
        <v>9320</v>
      </c>
    </row>
    <row r="544" spans="1:12" x14ac:dyDescent="0.35">
      <c r="A544" s="74" t="s">
        <v>275</v>
      </c>
      <c r="B544" s="74" t="s">
        <v>276</v>
      </c>
      <c r="C544" s="74" t="s">
        <v>277</v>
      </c>
      <c r="D544" s="74" t="s">
        <v>278</v>
      </c>
      <c r="E544" s="75" t="s">
        <v>286</v>
      </c>
      <c r="F544" s="76">
        <v>42345</v>
      </c>
      <c r="G544" s="76" t="s">
        <v>318</v>
      </c>
      <c r="H544" s="76" t="s">
        <v>304</v>
      </c>
      <c r="I544" s="74">
        <v>1000</v>
      </c>
      <c r="J544" s="74">
        <v>23690</v>
      </c>
      <c r="K544" s="74">
        <v>9840</v>
      </c>
      <c r="L544" s="74">
        <v>13850</v>
      </c>
    </row>
    <row r="545" spans="1:12" x14ac:dyDescent="0.35">
      <c r="A545" s="74" t="s">
        <v>298</v>
      </c>
      <c r="B545" s="74" t="s">
        <v>283</v>
      </c>
      <c r="C545" s="74" t="s">
        <v>284</v>
      </c>
      <c r="D545" s="74" t="s">
        <v>285</v>
      </c>
      <c r="E545" s="75" t="s">
        <v>279</v>
      </c>
      <c r="F545" s="76">
        <v>42346</v>
      </c>
      <c r="G545" s="76" t="s">
        <v>301</v>
      </c>
      <c r="H545" s="76" t="s">
        <v>315</v>
      </c>
      <c r="I545" s="74">
        <v>100</v>
      </c>
      <c r="J545" s="74">
        <v>2309</v>
      </c>
      <c r="K545" s="74">
        <v>1022</v>
      </c>
      <c r="L545" s="74">
        <v>1287</v>
      </c>
    </row>
    <row r="546" spans="1:12" x14ac:dyDescent="0.35">
      <c r="A546" s="74" t="s">
        <v>298</v>
      </c>
      <c r="B546" s="74" t="s">
        <v>126</v>
      </c>
      <c r="C546" s="74" t="s">
        <v>329</v>
      </c>
      <c r="D546" s="74" t="s">
        <v>330</v>
      </c>
      <c r="E546" s="75" t="s">
        <v>279</v>
      </c>
      <c r="F546" s="76">
        <v>42347</v>
      </c>
      <c r="G546" s="76" t="s">
        <v>280</v>
      </c>
      <c r="H546" s="76" t="s">
        <v>331</v>
      </c>
      <c r="I546" s="74">
        <v>900</v>
      </c>
      <c r="J546" s="74">
        <v>18756</v>
      </c>
      <c r="K546" s="74">
        <v>9198</v>
      </c>
      <c r="L546" s="74">
        <v>9558</v>
      </c>
    </row>
    <row r="547" spans="1:12" x14ac:dyDescent="0.35">
      <c r="A547" s="74" t="s">
        <v>275</v>
      </c>
      <c r="B547" s="74" t="s">
        <v>276</v>
      </c>
      <c r="C547" s="74" t="s">
        <v>277</v>
      </c>
      <c r="D547" s="74" t="s">
        <v>278</v>
      </c>
      <c r="E547" s="75" t="s">
        <v>303</v>
      </c>
      <c r="F547" s="76">
        <v>42348</v>
      </c>
      <c r="G547" s="76" t="s">
        <v>287</v>
      </c>
      <c r="H547" s="76" t="s">
        <v>304</v>
      </c>
      <c r="I547" s="74">
        <v>1000</v>
      </c>
      <c r="J547" s="74">
        <v>17410</v>
      </c>
      <c r="K547" s="74">
        <v>8470</v>
      </c>
      <c r="L547" s="74">
        <v>8940</v>
      </c>
    </row>
    <row r="548" spans="1:12" x14ac:dyDescent="0.35">
      <c r="A548" s="74" t="s">
        <v>275</v>
      </c>
      <c r="B548" s="74" t="s">
        <v>276</v>
      </c>
      <c r="C548" s="74" t="s">
        <v>277</v>
      </c>
      <c r="D548" s="74" t="s">
        <v>278</v>
      </c>
      <c r="E548" s="75" t="s">
        <v>286</v>
      </c>
      <c r="F548" s="76">
        <v>42348</v>
      </c>
      <c r="G548" s="76" t="s">
        <v>287</v>
      </c>
      <c r="H548" s="76" t="s">
        <v>304</v>
      </c>
      <c r="I548" s="74">
        <v>200</v>
      </c>
      <c r="J548" s="74">
        <v>4492</v>
      </c>
      <c r="K548" s="74">
        <v>1968</v>
      </c>
      <c r="L548" s="74">
        <v>2524</v>
      </c>
    </row>
    <row r="549" spans="1:12" x14ac:dyDescent="0.35">
      <c r="A549" s="74" t="s">
        <v>275</v>
      </c>
      <c r="B549" s="74" t="s">
        <v>283</v>
      </c>
      <c r="C549" s="74" t="s">
        <v>284</v>
      </c>
      <c r="D549" s="74" t="s">
        <v>285</v>
      </c>
      <c r="E549" s="75" t="s">
        <v>286</v>
      </c>
      <c r="F549" s="76">
        <v>42349</v>
      </c>
      <c r="G549" s="76" t="s">
        <v>308</v>
      </c>
      <c r="H549" s="76" t="s">
        <v>319</v>
      </c>
      <c r="I549" s="74">
        <v>200</v>
      </c>
      <c r="J549" s="74">
        <v>4696</v>
      </c>
      <c r="K549" s="74">
        <v>1968</v>
      </c>
      <c r="L549" s="74">
        <v>2728</v>
      </c>
    </row>
    <row r="550" spans="1:12" x14ac:dyDescent="0.35">
      <c r="A550" s="74" t="s">
        <v>282</v>
      </c>
      <c r="B550" s="74" t="s">
        <v>283</v>
      </c>
      <c r="C550" s="74" t="s">
        <v>284</v>
      </c>
      <c r="D550" s="74" t="s">
        <v>285</v>
      </c>
      <c r="E550" s="75" t="s">
        <v>286</v>
      </c>
      <c r="F550" s="76">
        <v>42351</v>
      </c>
      <c r="G550" s="76" t="s">
        <v>310</v>
      </c>
      <c r="H550" s="76" t="s">
        <v>288</v>
      </c>
      <c r="I550" s="74">
        <v>500</v>
      </c>
      <c r="J550" s="74">
        <v>10295</v>
      </c>
      <c r="K550" s="74">
        <v>4920</v>
      </c>
      <c r="L550" s="74">
        <v>5375</v>
      </c>
    </row>
    <row r="551" spans="1:12" x14ac:dyDescent="0.35">
      <c r="A551" s="74" t="s">
        <v>298</v>
      </c>
      <c r="B551" s="74" t="s">
        <v>283</v>
      </c>
      <c r="C551" s="74" t="s">
        <v>284</v>
      </c>
      <c r="D551" s="74" t="s">
        <v>285</v>
      </c>
      <c r="E551" s="75" t="s">
        <v>279</v>
      </c>
      <c r="F551" s="76">
        <v>42353</v>
      </c>
      <c r="G551" s="76" t="s">
        <v>301</v>
      </c>
      <c r="H551" s="76" t="s">
        <v>315</v>
      </c>
      <c r="I551" s="74">
        <v>1000</v>
      </c>
      <c r="J551" s="74">
        <v>25010</v>
      </c>
      <c r="K551" s="74">
        <v>10220</v>
      </c>
      <c r="L551" s="74">
        <v>14790</v>
      </c>
    </row>
    <row r="552" spans="1:12" x14ac:dyDescent="0.35">
      <c r="A552" s="74" t="s">
        <v>275</v>
      </c>
      <c r="B552" s="74" t="s">
        <v>276</v>
      </c>
      <c r="C552" s="74" t="s">
        <v>277</v>
      </c>
      <c r="D552" s="74" t="s">
        <v>278</v>
      </c>
      <c r="E552" s="75" t="s">
        <v>279</v>
      </c>
      <c r="F552" s="76">
        <v>42353</v>
      </c>
      <c r="G552" s="76" t="s">
        <v>301</v>
      </c>
      <c r="H552" s="76" t="s">
        <v>281</v>
      </c>
      <c r="I552" s="74">
        <v>500</v>
      </c>
      <c r="J552" s="74">
        <v>10380</v>
      </c>
      <c r="K552" s="74">
        <v>5110</v>
      </c>
      <c r="L552" s="74">
        <v>5270</v>
      </c>
    </row>
    <row r="553" spans="1:12" x14ac:dyDescent="0.35">
      <c r="A553" s="74" t="s">
        <v>275</v>
      </c>
      <c r="B553" s="74" t="s">
        <v>283</v>
      </c>
      <c r="C553" s="74" t="s">
        <v>284</v>
      </c>
      <c r="D553" s="74" t="s">
        <v>285</v>
      </c>
      <c r="E553" s="75" t="s">
        <v>279</v>
      </c>
      <c r="F553" s="76">
        <v>42354</v>
      </c>
      <c r="G553" s="76" t="s">
        <v>280</v>
      </c>
      <c r="H553" s="76" t="s">
        <v>311</v>
      </c>
      <c r="I553" s="74">
        <v>300</v>
      </c>
      <c r="J553" s="74">
        <v>6744</v>
      </c>
      <c r="K553" s="74">
        <v>3066</v>
      </c>
      <c r="L553" s="74">
        <v>3678</v>
      </c>
    </row>
    <row r="554" spans="1:12" x14ac:dyDescent="0.35">
      <c r="A554" s="74" t="s">
        <v>275</v>
      </c>
      <c r="B554" s="74" t="s">
        <v>276</v>
      </c>
      <c r="C554" s="74" t="s">
        <v>277</v>
      </c>
      <c r="D554" s="74" t="s">
        <v>278</v>
      </c>
      <c r="E554" s="75" t="s">
        <v>303</v>
      </c>
      <c r="F554" s="76">
        <v>42356</v>
      </c>
      <c r="G554" s="76" t="s">
        <v>308</v>
      </c>
      <c r="H554" s="76" t="s">
        <v>281</v>
      </c>
      <c r="I554" s="74">
        <v>700</v>
      </c>
      <c r="J554" s="74">
        <v>13552</v>
      </c>
      <c r="K554" s="74">
        <v>5929</v>
      </c>
      <c r="L554" s="74">
        <v>7623</v>
      </c>
    </row>
    <row r="555" spans="1:12" x14ac:dyDescent="0.35">
      <c r="A555" s="74" t="s">
        <v>305</v>
      </c>
      <c r="B555" s="74" t="s">
        <v>126</v>
      </c>
      <c r="C555" s="74" t="s">
        <v>306</v>
      </c>
      <c r="D555" s="74" t="s">
        <v>307</v>
      </c>
      <c r="E555" s="75" t="s">
        <v>279</v>
      </c>
      <c r="F555" s="76">
        <v>42358</v>
      </c>
      <c r="G555" s="76" t="s">
        <v>310</v>
      </c>
      <c r="H555" s="76" t="s">
        <v>309</v>
      </c>
      <c r="I555" s="74">
        <v>800</v>
      </c>
      <c r="J555" s="74">
        <v>18560</v>
      </c>
      <c r="K555" s="74">
        <v>8176</v>
      </c>
      <c r="L555" s="74">
        <v>10384</v>
      </c>
    </row>
    <row r="556" spans="1:12" x14ac:dyDescent="0.35">
      <c r="A556" s="74" t="s">
        <v>289</v>
      </c>
      <c r="B556" s="74" t="s">
        <v>126</v>
      </c>
      <c r="C556" s="74" t="s">
        <v>290</v>
      </c>
      <c r="D556" s="74" t="s">
        <v>291</v>
      </c>
      <c r="E556" s="75" t="s">
        <v>303</v>
      </c>
      <c r="F556" s="76">
        <v>42359</v>
      </c>
      <c r="G556" s="76" t="s">
        <v>318</v>
      </c>
      <c r="H556" s="76" t="s">
        <v>323</v>
      </c>
      <c r="I556" s="74">
        <v>300</v>
      </c>
      <c r="J556" s="74">
        <v>5847</v>
      </c>
      <c r="K556" s="74">
        <v>2541</v>
      </c>
      <c r="L556" s="74">
        <v>3306</v>
      </c>
    </row>
    <row r="557" spans="1:12" x14ac:dyDescent="0.35">
      <c r="A557" s="74" t="s">
        <v>282</v>
      </c>
      <c r="B557" s="74" t="s">
        <v>126</v>
      </c>
      <c r="C557" s="74" t="s">
        <v>312</v>
      </c>
      <c r="D557" s="74" t="s">
        <v>313</v>
      </c>
      <c r="E557" s="75" t="s">
        <v>279</v>
      </c>
      <c r="F557" s="76">
        <v>42360</v>
      </c>
      <c r="G557" s="76" t="s">
        <v>301</v>
      </c>
      <c r="H557" s="76" t="s">
        <v>314</v>
      </c>
      <c r="I557" s="74">
        <v>800</v>
      </c>
      <c r="J557" s="74">
        <v>18304</v>
      </c>
      <c r="K557" s="74">
        <v>8176</v>
      </c>
      <c r="L557" s="74">
        <v>10128</v>
      </c>
    </row>
    <row r="558" spans="1:12" x14ac:dyDescent="0.35">
      <c r="A558" s="74" t="s">
        <v>289</v>
      </c>
      <c r="B558" s="74" t="s">
        <v>126</v>
      </c>
      <c r="C558" s="74" t="s">
        <v>290</v>
      </c>
      <c r="D558" s="74" t="s">
        <v>291</v>
      </c>
      <c r="E558" s="75" t="s">
        <v>279</v>
      </c>
      <c r="F558" s="76">
        <v>42361</v>
      </c>
      <c r="G558" s="76" t="s">
        <v>280</v>
      </c>
      <c r="H558" s="76" t="s">
        <v>323</v>
      </c>
      <c r="I558" s="74">
        <v>700</v>
      </c>
      <c r="J558" s="74">
        <v>17199</v>
      </c>
      <c r="K558" s="74">
        <v>7154</v>
      </c>
      <c r="L558" s="74">
        <v>10045</v>
      </c>
    </row>
    <row r="559" spans="1:12" x14ac:dyDescent="0.35">
      <c r="A559" s="74" t="s">
        <v>275</v>
      </c>
      <c r="B559" s="74" t="s">
        <v>283</v>
      </c>
      <c r="C559" s="74" t="s">
        <v>284</v>
      </c>
      <c r="D559" s="74" t="s">
        <v>285</v>
      </c>
      <c r="E559" s="75" t="s">
        <v>303</v>
      </c>
      <c r="F559" s="76">
        <v>42362</v>
      </c>
      <c r="G559" s="76" t="s">
        <v>287</v>
      </c>
      <c r="H559" s="76" t="s">
        <v>311</v>
      </c>
      <c r="I559" s="74">
        <v>100</v>
      </c>
      <c r="J559" s="74">
        <v>1968</v>
      </c>
      <c r="K559" s="74">
        <v>847</v>
      </c>
      <c r="L559" s="74">
        <v>1121</v>
      </c>
    </row>
    <row r="560" spans="1:12" x14ac:dyDescent="0.35">
      <c r="A560" s="74" t="s">
        <v>305</v>
      </c>
      <c r="B560" s="74" t="s">
        <v>126</v>
      </c>
      <c r="C560" s="74" t="s">
        <v>306</v>
      </c>
      <c r="D560" s="74" t="s">
        <v>307</v>
      </c>
      <c r="E560" s="75" t="s">
        <v>279</v>
      </c>
      <c r="F560" s="76">
        <v>42363</v>
      </c>
      <c r="G560" s="76" t="s">
        <v>308</v>
      </c>
      <c r="H560" s="76" t="s">
        <v>309</v>
      </c>
      <c r="I560" s="74">
        <v>200</v>
      </c>
      <c r="J560" s="74">
        <v>4690</v>
      </c>
      <c r="K560" s="74">
        <v>2044</v>
      </c>
      <c r="L560" s="74">
        <v>2646</v>
      </c>
    </row>
    <row r="561" spans="1:12" x14ac:dyDescent="0.35">
      <c r="A561" s="74" t="s">
        <v>294</v>
      </c>
      <c r="B561" s="74" t="s">
        <v>283</v>
      </c>
      <c r="C561" s="74" t="s">
        <v>284</v>
      </c>
      <c r="D561" s="74" t="s">
        <v>285</v>
      </c>
      <c r="E561" s="75" t="s">
        <v>279</v>
      </c>
      <c r="F561" s="76">
        <v>42365</v>
      </c>
      <c r="G561" s="76" t="s">
        <v>310</v>
      </c>
      <c r="H561" s="76" t="s">
        <v>317</v>
      </c>
      <c r="I561" s="74">
        <v>500</v>
      </c>
      <c r="J561" s="74">
        <v>11680</v>
      </c>
      <c r="K561" s="74">
        <v>5110</v>
      </c>
      <c r="L561" s="74">
        <v>6570</v>
      </c>
    </row>
    <row r="562" spans="1:12" x14ac:dyDescent="0.35">
      <c r="A562" s="74" t="s">
        <v>305</v>
      </c>
      <c r="B562" s="74" t="s">
        <v>126</v>
      </c>
      <c r="C562" s="74" t="s">
        <v>306</v>
      </c>
      <c r="D562" s="74" t="s">
        <v>307</v>
      </c>
      <c r="E562" s="75" t="s">
        <v>286</v>
      </c>
      <c r="F562" s="76">
        <v>42365</v>
      </c>
      <c r="G562" s="76" t="s">
        <v>310</v>
      </c>
      <c r="H562" s="76" t="s">
        <v>309</v>
      </c>
      <c r="I562" s="74">
        <v>700</v>
      </c>
      <c r="J562" s="74">
        <v>14560</v>
      </c>
      <c r="K562" s="74">
        <v>6888</v>
      </c>
      <c r="L562" s="74">
        <v>7672</v>
      </c>
    </row>
    <row r="563" spans="1:12" x14ac:dyDescent="0.35">
      <c r="A563" s="74" t="s">
        <v>298</v>
      </c>
      <c r="B563" s="74" t="s">
        <v>126</v>
      </c>
      <c r="C563" s="74" t="s">
        <v>329</v>
      </c>
      <c r="D563" s="74" t="s">
        <v>330</v>
      </c>
      <c r="E563" s="75" t="s">
        <v>279</v>
      </c>
      <c r="F563" s="76">
        <v>42366</v>
      </c>
      <c r="G563" s="76" t="s">
        <v>318</v>
      </c>
      <c r="H563" s="76" t="s">
        <v>331</v>
      </c>
      <c r="I563" s="74">
        <v>700</v>
      </c>
      <c r="J563" s="74">
        <v>15225</v>
      </c>
      <c r="K563" s="74">
        <v>7154</v>
      </c>
      <c r="L563" s="74">
        <v>8071</v>
      </c>
    </row>
    <row r="564" spans="1:12" x14ac:dyDescent="0.35">
      <c r="A564" s="74" t="s">
        <v>275</v>
      </c>
      <c r="B564" s="74" t="s">
        <v>276</v>
      </c>
      <c r="C564" s="74" t="s">
        <v>277</v>
      </c>
      <c r="D564" s="74" t="s">
        <v>278</v>
      </c>
      <c r="E564" s="75" t="s">
        <v>303</v>
      </c>
      <c r="F564" s="76">
        <v>42367</v>
      </c>
      <c r="G564" s="76" t="s">
        <v>301</v>
      </c>
      <c r="H564" s="76" t="s">
        <v>304</v>
      </c>
      <c r="I564" s="74">
        <v>900</v>
      </c>
      <c r="J564" s="74">
        <v>15363</v>
      </c>
      <c r="K564" s="74">
        <v>7623</v>
      </c>
      <c r="L564" s="74">
        <v>7740</v>
      </c>
    </row>
    <row r="565" spans="1:12" x14ac:dyDescent="0.35">
      <c r="A565" s="91" t="s">
        <v>373</v>
      </c>
      <c r="B565" s="91"/>
      <c r="C565" s="91"/>
      <c r="D565" s="91"/>
      <c r="E565" s="92"/>
      <c r="F565" s="91"/>
      <c r="G565" s="91"/>
      <c r="H565" s="91"/>
      <c r="I565" s="91"/>
      <c r="J565" s="91"/>
      <c r="K565" s="91"/>
      <c r="L565" s="91">
        <f>SUBTOTAL(109,Таблица1[Цена])</f>
        <v>3729418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F2" sqref="F2"/>
    </sheetView>
  </sheetViews>
  <sheetFormatPr defaultColWidth="9.08984375" defaultRowHeight="14.5" x14ac:dyDescent="0.35"/>
  <cols>
    <col min="1" max="1" width="31.36328125" style="4" bestFit="1" customWidth="1"/>
    <col min="2" max="2" width="17.36328125" style="4" customWidth="1"/>
    <col min="3" max="3" width="13.36328125" style="4" customWidth="1"/>
    <col min="4" max="4" width="13.6328125" style="4" customWidth="1"/>
    <col min="5" max="5" width="16.90625" style="4" customWidth="1"/>
    <col min="6" max="6" width="14.54296875" style="4" customWidth="1"/>
    <col min="7" max="7" width="14" style="4" customWidth="1"/>
    <col min="8" max="8" width="18.36328125" style="4" customWidth="1"/>
    <col min="9" max="16384" width="9.08984375" style="4"/>
  </cols>
  <sheetData>
    <row r="1" spans="1:8" x14ac:dyDescent="0.35">
      <c r="A1" s="10" t="s">
        <v>92</v>
      </c>
      <c r="B1" s="11" t="s">
        <v>0</v>
      </c>
      <c r="C1" s="11" t="s">
        <v>1</v>
      </c>
      <c r="D1" s="11" t="s">
        <v>93</v>
      </c>
      <c r="E1" s="11" t="s">
        <v>94</v>
      </c>
      <c r="F1" s="11" t="s">
        <v>95</v>
      </c>
      <c r="G1" s="11" t="s">
        <v>96</v>
      </c>
      <c r="H1" s="12" t="s">
        <v>97</v>
      </c>
    </row>
    <row r="2" spans="1:8" x14ac:dyDescent="0.35">
      <c r="A2" s="13" t="s">
        <v>98</v>
      </c>
      <c r="B2" s="14" t="s">
        <v>2</v>
      </c>
      <c r="C2" s="14">
        <v>100</v>
      </c>
      <c r="D2" s="14">
        <v>13</v>
      </c>
      <c r="E2" s="15">
        <v>20</v>
      </c>
      <c r="F2" s="16"/>
      <c r="G2" s="17"/>
      <c r="H2" s="18"/>
    </row>
    <row r="3" spans="1:8" x14ac:dyDescent="0.35">
      <c r="A3" s="13" t="s">
        <v>98</v>
      </c>
      <c r="B3" s="14" t="s">
        <v>3</v>
      </c>
      <c r="C3" s="14">
        <v>80</v>
      </c>
      <c r="D3" s="14">
        <v>15</v>
      </c>
      <c r="E3" s="15">
        <v>20</v>
      </c>
      <c r="F3" s="16"/>
      <c r="G3" s="17"/>
      <c r="H3" s="18"/>
    </row>
    <row r="4" spans="1:8" x14ac:dyDescent="0.35">
      <c r="A4" s="13" t="s">
        <v>98</v>
      </c>
      <c r="B4" s="14" t="s">
        <v>4</v>
      </c>
      <c r="C4" s="14">
        <v>75</v>
      </c>
      <c r="D4" s="14">
        <v>30</v>
      </c>
      <c r="E4" s="15">
        <v>30</v>
      </c>
      <c r="F4" s="16"/>
      <c r="G4" s="17"/>
      <c r="H4" s="18"/>
    </row>
    <row r="5" spans="1:8" x14ac:dyDescent="0.35">
      <c r="A5" s="13" t="s">
        <v>98</v>
      </c>
      <c r="B5" s="14" t="s">
        <v>5</v>
      </c>
      <c r="C5" s="14">
        <v>95</v>
      </c>
      <c r="D5" s="14">
        <v>24</v>
      </c>
      <c r="E5" s="15">
        <v>20</v>
      </c>
      <c r="F5" s="16"/>
      <c r="G5" s="17"/>
      <c r="H5" s="18"/>
    </row>
    <row r="6" spans="1:8" x14ac:dyDescent="0.35">
      <c r="A6" s="13" t="s">
        <v>99</v>
      </c>
      <c r="B6" s="14" t="s">
        <v>6</v>
      </c>
      <c r="C6" s="14">
        <v>50</v>
      </c>
      <c r="D6" s="14">
        <v>15</v>
      </c>
      <c r="E6" s="15">
        <v>5</v>
      </c>
      <c r="F6" s="16"/>
      <c r="G6" s="17"/>
      <c r="H6" s="18"/>
    </row>
    <row r="7" spans="1:8" x14ac:dyDescent="0.35">
      <c r="A7" s="13" t="s">
        <v>99</v>
      </c>
      <c r="B7" s="14" t="s">
        <v>2</v>
      </c>
      <c r="C7" s="14">
        <v>45</v>
      </c>
      <c r="D7" s="14">
        <v>8</v>
      </c>
      <c r="E7" s="15">
        <v>5</v>
      </c>
      <c r="F7" s="16"/>
      <c r="G7" s="17"/>
      <c r="H7" s="18"/>
    </row>
    <row r="8" spans="1:8" x14ac:dyDescent="0.35">
      <c r="A8" s="13" t="s">
        <v>99</v>
      </c>
      <c r="B8" s="14" t="s">
        <v>3</v>
      </c>
      <c r="C8" s="14">
        <v>39</v>
      </c>
      <c r="D8" s="14">
        <v>9</v>
      </c>
      <c r="E8" s="15">
        <v>5</v>
      </c>
      <c r="F8" s="16"/>
      <c r="G8" s="17"/>
      <c r="H8" s="18"/>
    </row>
    <row r="9" spans="1:8" x14ac:dyDescent="0.35">
      <c r="A9" s="13" t="s">
        <v>99</v>
      </c>
      <c r="B9" s="14" t="s">
        <v>7</v>
      </c>
      <c r="C9" s="14">
        <v>50</v>
      </c>
      <c r="D9" s="14">
        <v>28</v>
      </c>
      <c r="E9" s="15">
        <v>5</v>
      </c>
      <c r="F9" s="16"/>
      <c r="G9" s="17"/>
      <c r="H9" s="18"/>
    </row>
    <row r="10" spans="1:8" x14ac:dyDescent="0.35">
      <c r="A10" s="13" t="s">
        <v>100</v>
      </c>
      <c r="B10" s="14" t="s">
        <v>2</v>
      </c>
      <c r="C10" s="14">
        <v>110</v>
      </c>
      <c r="D10" s="14">
        <v>25</v>
      </c>
      <c r="E10" s="15">
        <v>10</v>
      </c>
      <c r="F10" s="16"/>
      <c r="G10" s="17"/>
      <c r="H10" s="18"/>
    </row>
    <row r="11" spans="1:8" x14ac:dyDescent="0.35">
      <c r="A11" s="13" t="s">
        <v>100</v>
      </c>
      <c r="B11" s="14" t="s">
        <v>8</v>
      </c>
      <c r="C11" s="14">
        <v>85</v>
      </c>
      <c r="D11" s="14">
        <v>35</v>
      </c>
      <c r="E11" s="15">
        <v>10</v>
      </c>
      <c r="F11" s="16"/>
      <c r="G11" s="17"/>
      <c r="H11" s="18"/>
    </row>
    <row r="12" spans="1:8" x14ac:dyDescent="0.35">
      <c r="A12" s="13" t="s">
        <v>101</v>
      </c>
      <c r="B12" s="14" t="s">
        <v>9</v>
      </c>
      <c r="C12" s="14">
        <v>52</v>
      </c>
      <c r="D12" s="14">
        <v>10</v>
      </c>
      <c r="E12" s="15">
        <v>10</v>
      </c>
      <c r="F12" s="16"/>
      <c r="G12" s="17"/>
      <c r="H12" s="18"/>
    </row>
    <row r="13" spans="1:8" x14ac:dyDescent="0.35">
      <c r="A13" s="13" t="s">
        <v>102</v>
      </c>
      <c r="B13" s="14" t="s">
        <v>10</v>
      </c>
      <c r="C13" s="14">
        <v>500</v>
      </c>
      <c r="D13" s="14">
        <v>4</v>
      </c>
      <c r="E13" s="15">
        <v>30</v>
      </c>
      <c r="F13" s="16"/>
      <c r="G13" s="17"/>
      <c r="H13" s="18"/>
    </row>
    <row r="14" spans="1:8" x14ac:dyDescent="0.35">
      <c r="A14" s="13" t="s">
        <v>103</v>
      </c>
      <c r="B14" s="14" t="s">
        <v>11</v>
      </c>
      <c r="C14" s="14">
        <v>65</v>
      </c>
      <c r="D14" s="14">
        <v>10</v>
      </c>
      <c r="E14" s="15">
        <v>30</v>
      </c>
      <c r="F14" s="16"/>
      <c r="G14" s="17"/>
      <c r="H14" s="18"/>
    </row>
    <row r="15" spans="1:8" x14ac:dyDescent="0.35">
      <c r="A15" s="19" t="s">
        <v>104</v>
      </c>
      <c r="B15" s="20" t="s">
        <v>12</v>
      </c>
      <c r="C15" s="20">
        <v>1932</v>
      </c>
      <c r="D15" s="20">
        <v>2</v>
      </c>
      <c r="E15" s="21">
        <v>50</v>
      </c>
      <c r="F15" s="21"/>
      <c r="G15" s="21"/>
      <c r="H1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32" sqref="D32"/>
    </sheetView>
  </sheetViews>
  <sheetFormatPr defaultRowHeight="12.5" x14ac:dyDescent="0.25"/>
  <cols>
    <col min="1" max="1" width="14.54296875" customWidth="1"/>
  </cols>
  <sheetData>
    <row r="1" spans="1:2" ht="15" thickBot="1" x14ac:dyDescent="0.4">
      <c r="A1" s="1" t="s">
        <v>13</v>
      </c>
      <c r="B1" s="2">
        <v>65.099999999999994</v>
      </c>
    </row>
    <row r="2" spans="1:2" ht="15.5" thickTop="1" thickBot="1" x14ac:dyDescent="0.4">
      <c r="A2" s="1" t="s">
        <v>14</v>
      </c>
      <c r="B2" s="2">
        <v>72.95</v>
      </c>
    </row>
    <row r="3" spans="1:2" ht="13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D2" sqref="D2:H2"/>
    </sheetView>
  </sheetViews>
  <sheetFormatPr defaultColWidth="9.08984375" defaultRowHeight="14.5" x14ac:dyDescent="0.35"/>
  <cols>
    <col min="1" max="1" width="9.08984375" style="4"/>
    <col min="2" max="2" width="15" style="4" bestFit="1" customWidth="1"/>
    <col min="3" max="6" width="9.6328125" style="4" bestFit="1" customWidth="1"/>
    <col min="7" max="8" width="11.08984375" style="4" bestFit="1" customWidth="1"/>
    <col min="9" max="16384" width="9.08984375" style="4"/>
  </cols>
  <sheetData>
    <row r="1" spans="2:8" ht="15" thickBot="1" x14ac:dyDescent="0.4"/>
    <row r="2" spans="2:8" ht="15" thickBot="1" x14ac:dyDescent="0.4">
      <c r="B2" s="172" t="s">
        <v>92</v>
      </c>
      <c r="C2" s="174" t="s">
        <v>105</v>
      </c>
      <c r="D2" s="176" t="s">
        <v>93</v>
      </c>
      <c r="E2" s="176"/>
      <c r="F2" s="176"/>
      <c r="G2" s="176"/>
      <c r="H2" s="177"/>
    </row>
    <row r="3" spans="2:8" ht="15" thickBot="1" x14ac:dyDescent="0.4">
      <c r="B3" s="173"/>
      <c r="C3" s="175"/>
      <c r="D3" s="22">
        <v>2</v>
      </c>
      <c r="E3" s="22">
        <v>3</v>
      </c>
      <c r="F3" s="22">
        <v>4</v>
      </c>
      <c r="G3" s="22">
        <v>5</v>
      </c>
      <c r="H3" s="23">
        <v>6</v>
      </c>
    </row>
    <row r="4" spans="2:8" x14ac:dyDescent="0.35">
      <c r="B4" s="24" t="s">
        <v>106</v>
      </c>
      <c r="C4" s="25">
        <v>205</v>
      </c>
      <c r="D4" s="26"/>
      <c r="E4" s="27"/>
      <c r="F4" s="27"/>
      <c r="G4" s="27"/>
      <c r="H4" s="28"/>
    </row>
    <row r="5" spans="2:8" x14ac:dyDescent="0.35">
      <c r="B5" s="29" t="s">
        <v>107</v>
      </c>
      <c r="C5" s="30">
        <v>195</v>
      </c>
      <c r="D5" s="31"/>
      <c r="E5" s="32"/>
      <c r="F5" s="32"/>
      <c r="G5" s="32"/>
      <c r="H5" s="33"/>
    </row>
    <row r="6" spans="2:8" x14ac:dyDescent="0.35">
      <c r="B6" s="29" t="s">
        <v>108</v>
      </c>
      <c r="C6" s="30">
        <v>189</v>
      </c>
      <c r="D6" s="31"/>
      <c r="E6" s="32"/>
      <c r="F6" s="32"/>
      <c r="G6" s="32"/>
      <c r="H6" s="33"/>
    </row>
    <row r="7" spans="2:8" x14ac:dyDescent="0.35">
      <c r="B7" s="29" t="s">
        <v>109</v>
      </c>
      <c r="C7" s="30">
        <v>212</v>
      </c>
      <c r="D7" s="31"/>
      <c r="E7" s="32"/>
      <c r="F7" s="32"/>
      <c r="G7" s="32"/>
      <c r="H7" s="33"/>
    </row>
    <row r="8" spans="2:8" x14ac:dyDescent="0.35">
      <c r="B8" s="29" t="s">
        <v>110</v>
      </c>
      <c r="C8" s="30">
        <v>234</v>
      </c>
      <c r="D8" s="31"/>
      <c r="E8" s="32"/>
      <c r="F8" s="32"/>
      <c r="G8" s="32"/>
      <c r="H8" s="33"/>
    </row>
    <row r="9" spans="2:8" ht="15" thickBot="1" x14ac:dyDescent="0.4">
      <c r="B9" s="34" t="s">
        <v>111</v>
      </c>
      <c r="C9" s="35">
        <v>186</v>
      </c>
      <c r="D9" s="36"/>
      <c r="E9" s="37"/>
      <c r="F9" s="37"/>
      <c r="G9" s="37"/>
      <c r="H9" s="38"/>
    </row>
    <row r="12" spans="2:8" ht="11.25" customHeight="1" x14ac:dyDescent="0.35"/>
  </sheetData>
  <mergeCells count="3">
    <mergeCell ref="B2:B3"/>
    <mergeCell ref="C2:C3"/>
    <mergeCell ref="D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23"/>
  <sheetViews>
    <sheetView topLeftCell="A4" workbookViewId="0">
      <selection activeCell="E10" sqref="E10"/>
    </sheetView>
  </sheetViews>
  <sheetFormatPr defaultColWidth="9.08984375" defaultRowHeight="14.5" x14ac:dyDescent="0.35"/>
  <cols>
    <col min="1" max="16384" width="9.08984375" style="4"/>
  </cols>
  <sheetData>
    <row r="4" spans="2:6" x14ac:dyDescent="0.35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2:6" x14ac:dyDescent="0.35">
      <c r="B5" s="4" t="s">
        <v>20</v>
      </c>
      <c r="C5" s="4">
        <v>21000</v>
      </c>
      <c r="D5" s="4">
        <v>25000</v>
      </c>
      <c r="E5" s="4">
        <v>27000</v>
      </c>
    </row>
    <row r="6" spans="2:6" x14ac:dyDescent="0.35">
      <c r="B6" s="4" t="s">
        <v>21</v>
      </c>
      <c r="C6" s="4">
        <v>55000</v>
      </c>
      <c r="D6" s="4">
        <v>55000</v>
      </c>
      <c r="E6" s="4">
        <v>56000</v>
      </c>
    </row>
    <row r="7" spans="2:6" x14ac:dyDescent="0.35">
      <c r="B7" s="4" t="s">
        <v>22</v>
      </c>
      <c r="C7" s="4">
        <v>9000</v>
      </c>
      <c r="D7" s="4">
        <v>10000</v>
      </c>
      <c r="E7" s="4">
        <v>11000</v>
      </c>
    </row>
    <row r="8" spans="2:6" x14ac:dyDescent="0.35">
      <c r="B8" s="4" t="s">
        <v>23</v>
      </c>
      <c r="C8" s="4">
        <v>5000</v>
      </c>
      <c r="D8" s="4">
        <v>5500</v>
      </c>
      <c r="E8" s="4">
        <v>8000</v>
      </c>
    </row>
    <row r="9" spans="2:6" x14ac:dyDescent="0.35">
      <c r="B9" s="5" t="s">
        <v>24</v>
      </c>
      <c r="C9" s="5"/>
      <c r="D9" s="5"/>
      <c r="E9" s="5"/>
      <c r="F9" s="5"/>
    </row>
    <row r="11" spans="2:6" x14ac:dyDescent="0.35">
      <c r="B11" s="3" t="s">
        <v>15</v>
      </c>
      <c r="C11" s="3" t="s">
        <v>16</v>
      </c>
      <c r="D11" s="3" t="s">
        <v>17</v>
      </c>
      <c r="E11" s="3" t="s">
        <v>18</v>
      </c>
      <c r="F11" s="3" t="s">
        <v>25</v>
      </c>
    </row>
    <row r="12" spans="2:6" x14ac:dyDescent="0.35">
      <c r="B12" s="4" t="s">
        <v>20</v>
      </c>
      <c r="C12" s="4">
        <v>21000</v>
      </c>
      <c r="D12" s="4">
        <v>25000</v>
      </c>
      <c r="E12" s="4">
        <v>27000</v>
      </c>
    </row>
    <row r="13" spans="2:6" x14ac:dyDescent="0.35">
      <c r="B13" s="4" t="s">
        <v>21</v>
      </c>
      <c r="C13" s="4">
        <v>55000</v>
      </c>
      <c r="D13" s="4">
        <v>55000</v>
      </c>
      <c r="E13" s="4">
        <v>56000</v>
      </c>
    </row>
    <row r="14" spans="2:6" x14ac:dyDescent="0.35">
      <c r="B14" s="4" t="s">
        <v>22</v>
      </c>
      <c r="C14" s="4">
        <v>9000</v>
      </c>
      <c r="D14" s="4">
        <v>10000</v>
      </c>
      <c r="E14" s="4">
        <v>11000</v>
      </c>
    </row>
    <row r="15" spans="2:6" x14ac:dyDescent="0.35">
      <c r="B15" s="4" t="s">
        <v>23</v>
      </c>
      <c r="C15" s="4">
        <v>5000</v>
      </c>
      <c r="D15" s="4">
        <v>5500</v>
      </c>
      <c r="E15" s="4">
        <v>8000</v>
      </c>
    </row>
    <row r="16" spans="2:6" x14ac:dyDescent="0.35">
      <c r="B16" s="5" t="s">
        <v>26</v>
      </c>
      <c r="C16" s="5"/>
      <c r="D16" s="5"/>
      <c r="E16" s="5"/>
      <c r="F16" s="5"/>
    </row>
    <row r="18" spans="2:6" x14ac:dyDescent="0.35">
      <c r="B18" s="3" t="s">
        <v>15</v>
      </c>
      <c r="C18" s="3" t="s">
        <v>16</v>
      </c>
      <c r="D18" s="3" t="s">
        <v>17</v>
      </c>
      <c r="E18" s="3" t="s">
        <v>18</v>
      </c>
      <c r="F18" s="3" t="s">
        <v>27</v>
      </c>
    </row>
    <row r="19" spans="2:6" x14ac:dyDescent="0.35">
      <c r="B19" s="4" t="s">
        <v>20</v>
      </c>
      <c r="C19" s="4">
        <v>21000</v>
      </c>
      <c r="D19" s="4">
        <v>25000</v>
      </c>
      <c r="E19" s="4">
        <v>27000</v>
      </c>
    </row>
    <row r="20" spans="2:6" x14ac:dyDescent="0.35">
      <c r="B20" s="4" t="s">
        <v>21</v>
      </c>
      <c r="C20" s="4">
        <v>55000</v>
      </c>
      <c r="D20" s="4">
        <v>55000</v>
      </c>
      <c r="E20" s="4">
        <v>56000</v>
      </c>
    </row>
    <row r="21" spans="2:6" x14ac:dyDescent="0.35">
      <c r="B21" s="4" t="s">
        <v>22</v>
      </c>
      <c r="C21" s="4">
        <v>9000</v>
      </c>
      <c r="D21" s="4">
        <v>10000</v>
      </c>
      <c r="E21" s="4">
        <v>11000</v>
      </c>
    </row>
    <row r="22" spans="2:6" x14ac:dyDescent="0.35">
      <c r="B22" s="4" t="s">
        <v>23</v>
      </c>
      <c r="C22" s="4">
        <v>5000</v>
      </c>
      <c r="D22" s="4">
        <v>5500</v>
      </c>
      <c r="E22" s="4">
        <v>8000</v>
      </c>
    </row>
    <row r="23" spans="2:6" x14ac:dyDescent="0.35">
      <c r="B23" s="5" t="s">
        <v>27</v>
      </c>
      <c r="C23" s="5"/>
      <c r="D23" s="5"/>
      <c r="E23" s="5"/>
      <c r="F2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activeCell="C102" sqref="C102"/>
    </sheetView>
  </sheetViews>
  <sheetFormatPr defaultColWidth="9.08984375" defaultRowHeight="12" x14ac:dyDescent="0.3"/>
  <cols>
    <col min="1" max="1" width="13.08984375" style="95" customWidth="1"/>
    <col min="2" max="16384" width="9.08984375" style="95"/>
  </cols>
  <sheetData>
    <row r="1" spans="1:2" x14ac:dyDescent="0.3">
      <c r="A1" s="96" t="s">
        <v>375</v>
      </c>
      <c r="B1" s="96" t="s">
        <v>376</v>
      </c>
    </row>
    <row r="3" spans="1:2" x14ac:dyDescent="0.3">
      <c r="A3" s="95" t="s">
        <v>374</v>
      </c>
    </row>
    <row r="4" spans="1:2" x14ac:dyDescent="0.3">
      <c r="A4" s="95">
        <v>10</v>
      </c>
    </row>
    <row r="5" spans="1:2" x14ac:dyDescent="0.3">
      <c r="A5" s="95">
        <v>20</v>
      </c>
    </row>
    <row r="6" spans="1:2" x14ac:dyDescent="0.3">
      <c r="A6" s="95">
        <v>30</v>
      </c>
    </row>
    <row r="7" spans="1:2" x14ac:dyDescent="0.3">
      <c r="A7" s="95">
        <v>40</v>
      </c>
    </row>
    <row r="8" spans="1:2" x14ac:dyDescent="0.3">
      <c r="A8" s="95">
        <v>50</v>
      </c>
    </row>
    <row r="9" spans="1:2" x14ac:dyDescent="0.3">
      <c r="A9" s="95">
        <v>60</v>
      </c>
    </row>
    <row r="10" spans="1:2" x14ac:dyDescent="0.3">
      <c r="A10" s="95">
        <v>70</v>
      </c>
    </row>
    <row r="11" spans="1:2" x14ac:dyDescent="0.3">
      <c r="A11" s="95">
        <v>80</v>
      </c>
    </row>
    <row r="12" spans="1:2" x14ac:dyDescent="0.3">
      <c r="A12" s="95">
        <v>90</v>
      </c>
    </row>
    <row r="13" spans="1:2" x14ac:dyDescent="0.3">
      <c r="A13" s="95">
        <v>100</v>
      </c>
    </row>
    <row r="14" spans="1:2" x14ac:dyDescent="0.3">
      <c r="A14" s="95">
        <v>110</v>
      </c>
    </row>
    <row r="15" spans="1:2" x14ac:dyDescent="0.3">
      <c r="A15" s="95">
        <v>120</v>
      </c>
    </row>
    <row r="16" spans="1:2" x14ac:dyDescent="0.3">
      <c r="A16" s="95">
        <v>130</v>
      </c>
    </row>
    <row r="17" spans="1:1" x14ac:dyDescent="0.3">
      <c r="A17" s="95">
        <v>140</v>
      </c>
    </row>
    <row r="18" spans="1:1" x14ac:dyDescent="0.3">
      <c r="A18" s="95">
        <v>150</v>
      </c>
    </row>
    <row r="19" spans="1:1" x14ac:dyDescent="0.3">
      <c r="A19" s="95">
        <v>160</v>
      </c>
    </row>
    <row r="20" spans="1:1" x14ac:dyDescent="0.3">
      <c r="A20" s="95">
        <v>170</v>
      </c>
    </row>
    <row r="21" spans="1:1" x14ac:dyDescent="0.3">
      <c r="A21" s="95">
        <v>180</v>
      </c>
    </row>
    <row r="22" spans="1:1" x14ac:dyDescent="0.3">
      <c r="A22" s="95">
        <v>190</v>
      </c>
    </row>
    <row r="23" spans="1:1" x14ac:dyDescent="0.3">
      <c r="A23" s="95">
        <v>200</v>
      </c>
    </row>
    <row r="24" spans="1:1" x14ac:dyDescent="0.3">
      <c r="A24" s="95">
        <v>210</v>
      </c>
    </row>
    <row r="25" spans="1:1" x14ac:dyDescent="0.3">
      <c r="A25" s="95">
        <v>220</v>
      </c>
    </row>
    <row r="26" spans="1:1" x14ac:dyDescent="0.3">
      <c r="A26" s="95">
        <v>230</v>
      </c>
    </row>
    <row r="27" spans="1:1" x14ac:dyDescent="0.3">
      <c r="A27" s="95">
        <v>240</v>
      </c>
    </row>
    <row r="28" spans="1:1" x14ac:dyDescent="0.3">
      <c r="A28" s="95">
        <v>250</v>
      </c>
    </row>
    <row r="29" spans="1:1" x14ac:dyDescent="0.3">
      <c r="A29" s="95">
        <v>260</v>
      </c>
    </row>
    <row r="30" spans="1:1" x14ac:dyDescent="0.3">
      <c r="A30" s="95">
        <v>270</v>
      </c>
    </row>
    <row r="31" spans="1:1" x14ac:dyDescent="0.3">
      <c r="A31" s="95">
        <v>280</v>
      </c>
    </row>
    <row r="32" spans="1:1" x14ac:dyDescent="0.3">
      <c r="A32" s="95">
        <v>290</v>
      </c>
    </row>
    <row r="33" spans="1:1" x14ac:dyDescent="0.3">
      <c r="A33" s="95">
        <v>300</v>
      </c>
    </row>
    <row r="34" spans="1:1" x14ac:dyDescent="0.3">
      <c r="A34" s="95">
        <v>310</v>
      </c>
    </row>
    <row r="35" spans="1:1" x14ac:dyDescent="0.3">
      <c r="A35" s="95">
        <v>320</v>
      </c>
    </row>
    <row r="36" spans="1:1" x14ac:dyDescent="0.3">
      <c r="A36" s="95">
        <v>330</v>
      </c>
    </row>
    <row r="37" spans="1:1" x14ac:dyDescent="0.3">
      <c r="A37" s="95">
        <v>340</v>
      </c>
    </row>
    <row r="38" spans="1:1" x14ac:dyDescent="0.3">
      <c r="A38" s="95">
        <v>350</v>
      </c>
    </row>
    <row r="39" spans="1:1" x14ac:dyDescent="0.3">
      <c r="A39" s="95">
        <v>360</v>
      </c>
    </row>
    <row r="40" spans="1:1" x14ac:dyDescent="0.3">
      <c r="A40" s="95">
        <v>370</v>
      </c>
    </row>
    <row r="41" spans="1:1" x14ac:dyDescent="0.3">
      <c r="A41" s="95">
        <v>380</v>
      </c>
    </row>
    <row r="42" spans="1:1" x14ac:dyDescent="0.3">
      <c r="A42" s="95">
        <v>390</v>
      </c>
    </row>
    <row r="43" spans="1:1" x14ac:dyDescent="0.3">
      <c r="A43" s="95">
        <v>400</v>
      </c>
    </row>
    <row r="44" spans="1:1" x14ac:dyDescent="0.3">
      <c r="A44" s="95">
        <v>410</v>
      </c>
    </row>
    <row r="45" spans="1:1" x14ac:dyDescent="0.3">
      <c r="A45" s="95">
        <v>420</v>
      </c>
    </row>
    <row r="46" spans="1:1" x14ac:dyDescent="0.3">
      <c r="A46" s="95">
        <v>430</v>
      </c>
    </row>
    <row r="47" spans="1:1" x14ac:dyDescent="0.3">
      <c r="A47" s="95">
        <v>440</v>
      </c>
    </row>
    <row r="48" spans="1:1" x14ac:dyDescent="0.3">
      <c r="A48" s="95">
        <v>450</v>
      </c>
    </row>
    <row r="49" spans="1:1" x14ac:dyDescent="0.3">
      <c r="A49" s="95">
        <v>460</v>
      </c>
    </row>
    <row r="50" spans="1:1" x14ac:dyDescent="0.3">
      <c r="A50" s="95">
        <v>470</v>
      </c>
    </row>
    <row r="51" spans="1:1" x14ac:dyDescent="0.3">
      <c r="A51" s="95">
        <v>480</v>
      </c>
    </row>
    <row r="52" spans="1:1" x14ac:dyDescent="0.3">
      <c r="A52" s="95">
        <v>490</v>
      </c>
    </row>
    <row r="53" spans="1:1" x14ac:dyDescent="0.3">
      <c r="A53" s="95">
        <v>500</v>
      </c>
    </row>
    <row r="54" spans="1:1" x14ac:dyDescent="0.3">
      <c r="A54" s="95">
        <v>510</v>
      </c>
    </row>
    <row r="55" spans="1:1" x14ac:dyDescent="0.3">
      <c r="A55" s="95">
        <v>520</v>
      </c>
    </row>
    <row r="56" spans="1:1" x14ac:dyDescent="0.3">
      <c r="A56" s="95">
        <v>530</v>
      </c>
    </row>
    <row r="57" spans="1:1" x14ac:dyDescent="0.3">
      <c r="A57" s="95">
        <v>540</v>
      </c>
    </row>
    <row r="58" spans="1:1" x14ac:dyDescent="0.3">
      <c r="A58" s="95">
        <v>550</v>
      </c>
    </row>
    <row r="59" spans="1:1" x14ac:dyDescent="0.3">
      <c r="A59" s="95">
        <v>560</v>
      </c>
    </row>
    <row r="60" spans="1:1" x14ac:dyDescent="0.3">
      <c r="A60" s="95">
        <v>570</v>
      </c>
    </row>
    <row r="61" spans="1:1" x14ac:dyDescent="0.3">
      <c r="A61" s="95">
        <v>580</v>
      </c>
    </row>
    <row r="62" spans="1:1" x14ac:dyDescent="0.3">
      <c r="A62" s="95">
        <v>590</v>
      </c>
    </row>
    <row r="63" spans="1:1" x14ac:dyDescent="0.3">
      <c r="A63" s="95">
        <v>600</v>
      </c>
    </row>
    <row r="64" spans="1:1" x14ac:dyDescent="0.3">
      <c r="A64" s="95">
        <v>610</v>
      </c>
    </row>
    <row r="65" spans="1:1" x14ac:dyDescent="0.3">
      <c r="A65" s="95">
        <v>620</v>
      </c>
    </row>
    <row r="66" spans="1:1" x14ac:dyDescent="0.3">
      <c r="A66" s="95">
        <v>630</v>
      </c>
    </row>
    <row r="67" spans="1:1" x14ac:dyDescent="0.3">
      <c r="A67" s="95">
        <v>640</v>
      </c>
    </row>
    <row r="68" spans="1:1" x14ac:dyDescent="0.3">
      <c r="A68" s="95">
        <v>650</v>
      </c>
    </row>
    <row r="69" spans="1:1" x14ac:dyDescent="0.3">
      <c r="A69" s="95">
        <v>660</v>
      </c>
    </row>
    <row r="70" spans="1:1" x14ac:dyDescent="0.3">
      <c r="A70" s="95">
        <v>670</v>
      </c>
    </row>
    <row r="71" spans="1:1" x14ac:dyDescent="0.3">
      <c r="A71" s="95">
        <v>680</v>
      </c>
    </row>
    <row r="72" spans="1:1" x14ac:dyDescent="0.3">
      <c r="A72" s="95">
        <v>690</v>
      </c>
    </row>
    <row r="73" spans="1:1" x14ac:dyDescent="0.3">
      <c r="A73" s="95">
        <v>700</v>
      </c>
    </row>
    <row r="74" spans="1:1" x14ac:dyDescent="0.3">
      <c r="A74" s="95">
        <v>710</v>
      </c>
    </row>
    <row r="75" spans="1:1" x14ac:dyDescent="0.3">
      <c r="A75" s="95">
        <v>720</v>
      </c>
    </row>
    <row r="76" spans="1:1" x14ac:dyDescent="0.3">
      <c r="A76" s="95">
        <v>730</v>
      </c>
    </row>
    <row r="77" spans="1:1" x14ac:dyDescent="0.3">
      <c r="A77" s="95">
        <v>740</v>
      </c>
    </row>
    <row r="78" spans="1:1" x14ac:dyDescent="0.3">
      <c r="A78" s="95">
        <v>750</v>
      </c>
    </row>
    <row r="79" spans="1:1" x14ac:dyDescent="0.3">
      <c r="A79" s="95">
        <v>760</v>
      </c>
    </row>
    <row r="80" spans="1:1" x14ac:dyDescent="0.3">
      <c r="A80" s="95">
        <v>770</v>
      </c>
    </row>
    <row r="81" spans="1:1" x14ac:dyDescent="0.3">
      <c r="A81" s="95">
        <v>780</v>
      </c>
    </row>
    <row r="82" spans="1:1" x14ac:dyDescent="0.3">
      <c r="A82" s="95">
        <v>790</v>
      </c>
    </row>
    <row r="83" spans="1:1" x14ac:dyDescent="0.3">
      <c r="A83" s="95">
        <v>800</v>
      </c>
    </row>
    <row r="84" spans="1:1" x14ac:dyDescent="0.3">
      <c r="A84" s="95">
        <v>810</v>
      </c>
    </row>
    <row r="85" spans="1:1" x14ac:dyDescent="0.3">
      <c r="A85" s="95">
        <v>820</v>
      </c>
    </row>
    <row r="86" spans="1:1" x14ac:dyDescent="0.3">
      <c r="A86" s="95">
        <v>830</v>
      </c>
    </row>
    <row r="87" spans="1:1" x14ac:dyDescent="0.3">
      <c r="A87" s="95">
        <v>840</v>
      </c>
    </row>
    <row r="88" spans="1:1" x14ac:dyDescent="0.3">
      <c r="A88" s="95">
        <v>850</v>
      </c>
    </row>
    <row r="89" spans="1:1" x14ac:dyDescent="0.3">
      <c r="A89" s="95">
        <v>860</v>
      </c>
    </row>
    <row r="90" spans="1:1" x14ac:dyDescent="0.3">
      <c r="A90" s="95">
        <v>870</v>
      </c>
    </row>
    <row r="91" spans="1:1" x14ac:dyDescent="0.3">
      <c r="A91" s="95">
        <v>880</v>
      </c>
    </row>
    <row r="92" spans="1:1" x14ac:dyDescent="0.3">
      <c r="A92" s="95">
        <v>890</v>
      </c>
    </row>
    <row r="93" spans="1:1" x14ac:dyDescent="0.3">
      <c r="A93" s="95">
        <v>900</v>
      </c>
    </row>
    <row r="94" spans="1:1" x14ac:dyDescent="0.3">
      <c r="A94" s="95">
        <v>910</v>
      </c>
    </row>
    <row r="95" spans="1:1" x14ac:dyDescent="0.3">
      <c r="A95" s="95">
        <v>920</v>
      </c>
    </row>
    <row r="96" spans="1:1" x14ac:dyDescent="0.3">
      <c r="A96" s="95">
        <v>930</v>
      </c>
    </row>
    <row r="97" spans="1:1" x14ac:dyDescent="0.3">
      <c r="A97" s="95">
        <v>940</v>
      </c>
    </row>
    <row r="98" spans="1:1" x14ac:dyDescent="0.3">
      <c r="A98" s="95">
        <v>950</v>
      </c>
    </row>
    <row r="99" spans="1:1" x14ac:dyDescent="0.3">
      <c r="A99" s="95">
        <v>960</v>
      </c>
    </row>
    <row r="100" spans="1:1" x14ac:dyDescent="0.3">
      <c r="A100" s="95">
        <v>970</v>
      </c>
    </row>
    <row r="101" spans="1:1" x14ac:dyDescent="0.3">
      <c r="A101" s="95">
        <v>980</v>
      </c>
    </row>
    <row r="102" spans="1:1" x14ac:dyDescent="0.3">
      <c r="A102" s="95">
        <v>990</v>
      </c>
    </row>
    <row r="103" spans="1:1" x14ac:dyDescent="0.3">
      <c r="A103" s="95">
        <v>1000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23" sqref="G23"/>
    </sheetView>
  </sheetViews>
  <sheetFormatPr defaultColWidth="9.08984375" defaultRowHeight="12" x14ac:dyDescent="0.3"/>
  <cols>
    <col min="1" max="1" width="29.6328125" style="95" bestFit="1" customWidth="1"/>
    <col min="2" max="2" width="10.90625" style="95" customWidth="1"/>
    <col min="3" max="3" width="12.36328125" style="95" customWidth="1"/>
    <col min="4" max="4" width="15.453125" style="95" customWidth="1"/>
    <col min="5" max="16384" width="9.08984375" style="95"/>
  </cols>
  <sheetData>
    <row r="1" spans="1:4" x14ac:dyDescent="0.3">
      <c r="A1" s="96" t="s">
        <v>375</v>
      </c>
      <c r="B1" s="97" t="s">
        <v>488</v>
      </c>
      <c r="C1" s="115"/>
      <c r="D1" s="115"/>
    </row>
    <row r="2" spans="1:4" x14ac:dyDescent="0.3">
      <c r="A2" s="116" t="s">
        <v>28</v>
      </c>
      <c r="B2" s="117" t="s">
        <v>29</v>
      </c>
      <c r="C2" s="118" t="s">
        <v>30</v>
      </c>
      <c r="D2" s="119" t="s">
        <v>31</v>
      </c>
    </row>
    <row r="3" spans="1:4" x14ac:dyDescent="0.3">
      <c r="A3" s="122" t="s">
        <v>32</v>
      </c>
      <c r="B3" s="123">
        <v>13310.32</v>
      </c>
      <c r="C3" s="123">
        <f>ROUND(B3 / 'Курсы валют'!$B$1, 2)</f>
        <v>204.46</v>
      </c>
      <c r="D3" s="124">
        <f>ROUND(B3 / 'Курсы валют'!$B$2, 2)</f>
        <v>182.46</v>
      </c>
    </row>
    <row r="4" spans="1:4" x14ac:dyDescent="0.3">
      <c r="A4" s="122" t="s">
        <v>33</v>
      </c>
      <c r="B4" s="123">
        <v>11148.37</v>
      </c>
      <c r="C4" s="123">
        <f>ROUND(B4 / 'Курсы валют'!$B$1, 2)</f>
        <v>171.25</v>
      </c>
      <c r="D4" s="124">
        <f>ROUND(B4 / 'Курсы валют'!$B$2, 2)</f>
        <v>152.82</v>
      </c>
    </row>
    <row r="5" spans="1:4" x14ac:dyDescent="0.3">
      <c r="A5" s="122" t="s">
        <v>34</v>
      </c>
      <c r="B5" s="123">
        <v>9898.09</v>
      </c>
      <c r="C5" s="123">
        <f>ROUND(B5 / 'Курсы валют'!$B$1, 2)</f>
        <v>152.04</v>
      </c>
      <c r="D5" s="124">
        <f>ROUND(B5 / 'Курсы валют'!$B$2, 2)</f>
        <v>135.68</v>
      </c>
    </row>
    <row r="6" spans="1:4" x14ac:dyDescent="0.3">
      <c r="A6" s="122" t="s">
        <v>35</v>
      </c>
      <c r="B6" s="123">
        <v>7475.66</v>
      </c>
      <c r="C6" s="123">
        <f>ROUND(B6 / 'Курсы валют'!$B$1, 2)</f>
        <v>114.83</v>
      </c>
      <c r="D6" s="124">
        <f>ROUND(B6 / 'Курсы валют'!$B$2, 2)</f>
        <v>102.48</v>
      </c>
    </row>
    <row r="7" spans="1:4" x14ac:dyDescent="0.3">
      <c r="A7" s="122" t="s">
        <v>36</v>
      </c>
      <c r="B7" s="123">
        <v>3776.9</v>
      </c>
      <c r="C7" s="123">
        <f>ROUND(B7 / 'Курсы валют'!$B$1, 2)</f>
        <v>58.02</v>
      </c>
      <c r="D7" s="124">
        <f>ROUND(B7 / 'Курсы валют'!$B$2, 2)</f>
        <v>51.77</v>
      </c>
    </row>
    <row r="8" spans="1:4" x14ac:dyDescent="0.3">
      <c r="A8" s="122" t="s">
        <v>37</v>
      </c>
      <c r="B8" s="123">
        <v>9038.52</v>
      </c>
      <c r="C8" s="123">
        <f>ROUND(B8 / 'Курсы валют'!$B$1, 2)</f>
        <v>138.84</v>
      </c>
      <c r="D8" s="124">
        <f>ROUND(B8 / 'Курсы валют'!$B$2, 2)</f>
        <v>123.9</v>
      </c>
    </row>
    <row r="9" spans="1:4" x14ac:dyDescent="0.3">
      <c r="A9" s="122" t="s">
        <v>38</v>
      </c>
      <c r="B9" s="123">
        <v>5079.28</v>
      </c>
      <c r="C9" s="123">
        <f>ROUND(B9 / 'Курсы валют'!$B$1, 2)</f>
        <v>78.02</v>
      </c>
      <c r="D9" s="124">
        <f>ROUND(B9 / 'Курсы валют'!$B$2, 2)</f>
        <v>69.63</v>
      </c>
    </row>
    <row r="10" spans="1:4" x14ac:dyDescent="0.3">
      <c r="A10" s="122" t="s">
        <v>39</v>
      </c>
      <c r="B10" s="123">
        <v>27792.79</v>
      </c>
      <c r="C10" s="123">
        <f>ROUND(B10 / 'Курсы валют'!$B$1, 2)</f>
        <v>426.92</v>
      </c>
      <c r="D10" s="124">
        <f>ROUND(B10 / 'Курсы валют'!$B$2, 2)</f>
        <v>380.98</v>
      </c>
    </row>
    <row r="11" spans="1:4" x14ac:dyDescent="0.3">
      <c r="A11" s="122" t="s">
        <v>40</v>
      </c>
      <c r="B11" s="123">
        <v>9819.9500000000007</v>
      </c>
      <c r="C11" s="123">
        <f>ROUND(B11 / 'Курсы валют'!$B$1, 2)</f>
        <v>150.84</v>
      </c>
      <c r="D11" s="124">
        <f>ROUND(B11 / 'Курсы валют'!$B$2, 2)</f>
        <v>134.61000000000001</v>
      </c>
    </row>
    <row r="12" spans="1:4" x14ac:dyDescent="0.3">
      <c r="A12" s="122" t="s">
        <v>41</v>
      </c>
      <c r="B12" s="123">
        <v>20369.22</v>
      </c>
      <c r="C12" s="123">
        <f>ROUND(B12 / 'Курсы валют'!$B$1, 2)</f>
        <v>312.89</v>
      </c>
      <c r="D12" s="124">
        <f>ROUND(B12 / 'Курсы валют'!$B$2, 2)</f>
        <v>279.22000000000003</v>
      </c>
    </row>
    <row r="13" spans="1:4" x14ac:dyDescent="0.3">
      <c r="A13" s="122" t="s">
        <v>42</v>
      </c>
      <c r="B13" s="123">
        <v>9064.56</v>
      </c>
      <c r="C13" s="123">
        <f>ROUND(B13 / 'Курсы валют'!$B$1, 2)</f>
        <v>139.24</v>
      </c>
      <c r="D13" s="124">
        <f>ROUND(B13 / 'Курсы валют'!$B$2, 2)</f>
        <v>124.26</v>
      </c>
    </row>
    <row r="14" spans="1:4" x14ac:dyDescent="0.3">
      <c r="A14" s="122" t="s">
        <v>43</v>
      </c>
      <c r="B14" s="123">
        <v>6954.71</v>
      </c>
      <c r="C14" s="123">
        <f>ROUND(B14 / 'Курсы валют'!$B$1, 2)</f>
        <v>106.83</v>
      </c>
      <c r="D14" s="124">
        <f>ROUND(B14 / 'Курсы валют'!$B$2, 2)</f>
        <v>95.34</v>
      </c>
    </row>
    <row r="15" spans="1:4" x14ac:dyDescent="0.3">
      <c r="A15" s="122" t="s">
        <v>44</v>
      </c>
      <c r="B15" s="123">
        <v>24745.22</v>
      </c>
      <c r="C15" s="123">
        <f>ROUND(B15 / 'Курсы валют'!$B$1, 2)</f>
        <v>380.11</v>
      </c>
      <c r="D15" s="124">
        <f>ROUND(B15 / 'Курсы валют'!$B$2, 2)</f>
        <v>339.21</v>
      </c>
    </row>
    <row r="16" spans="1:4" x14ac:dyDescent="0.3">
      <c r="A16" s="122" t="s">
        <v>45</v>
      </c>
      <c r="B16" s="123">
        <v>8908.2800000000007</v>
      </c>
      <c r="C16" s="123">
        <f>ROUND(B16 / 'Курсы валют'!$B$1, 2)</f>
        <v>136.84</v>
      </c>
      <c r="D16" s="124">
        <f>ROUND(B16 / 'Курсы валют'!$B$2, 2)</f>
        <v>122.11</v>
      </c>
    </row>
    <row r="17" spans="1:4" x14ac:dyDescent="0.3">
      <c r="A17" s="122" t="s">
        <v>46</v>
      </c>
      <c r="B17" s="123">
        <v>7084.95</v>
      </c>
      <c r="C17" s="123">
        <f>ROUND(B17 / 'Курсы валют'!$B$1, 2)</f>
        <v>108.83</v>
      </c>
      <c r="D17" s="124">
        <f>ROUND(B17 / 'Курсы валют'!$B$2, 2)</f>
        <v>97.12</v>
      </c>
    </row>
    <row r="18" spans="1:4" x14ac:dyDescent="0.3">
      <c r="A18" s="122" t="s">
        <v>47</v>
      </c>
      <c r="B18" s="123">
        <v>11877.71</v>
      </c>
      <c r="C18" s="123">
        <f>ROUND(B18 / 'Курсы валют'!$B$1, 2)</f>
        <v>182.45</v>
      </c>
      <c r="D18" s="124">
        <f>ROUND(B18 / 'Курсы валют'!$B$2, 2)</f>
        <v>162.82</v>
      </c>
    </row>
    <row r="19" spans="1:4" x14ac:dyDescent="0.3">
      <c r="A19" s="122" t="s">
        <v>48</v>
      </c>
      <c r="B19" s="123">
        <v>7267.28</v>
      </c>
      <c r="C19" s="123">
        <f>ROUND(B19 / 'Курсы валют'!$B$1, 2)</f>
        <v>111.63</v>
      </c>
      <c r="D19" s="124">
        <f>ROUND(B19 / 'Курсы валют'!$B$2, 2)</f>
        <v>99.62</v>
      </c>
    </row>
    <row r="20" spans="1:4" x14ac:dyDescent="0.3">
      <c r="A20" s="122" t="s">
        <v>49</v>
      </c>
      <c r="B20" s="123">
        <v>7397.52</v>
      </c>
      <c r="C20" s="123">
        <f>ROUND(B20 / 'Курсы валют'!$B$1, 2)</f>
        <v>113.63</v>
      </c>
      <c r="D20" s="124">
        <f>ROUND(B20 / 'Курсы валют'!$B$2, 2)</f>
        <v>101.41</v>
      </c>
    </row>
    <row r="21" spans="1:4" x14ac:dyDescent="0.3">
      <c r="A21" s="122" t="s">
        <v>50</v>
      </c>
      <c r="B21" s="123">
        <v>9872.0400000000009</v>
      </c>
      <c r="C21" s="123">
        <f>ROUND(B21 / 'Курсы валют'!$B$1, 2)</f>
        <v>151.63999999999999</v>
      </c>
      <c r="D21" s="124">
        <f>ROUND(B21 / 'Курсы валют'!$B$2, 2)</f>
        <v>135.33000000000001</v>
      </c>
    </row>
    <row r="22" spans="1:4" x14ac:dyDescent="0.3">
      <c r="A22" s="122" t="s">
        <v>51</v>
      </c>
      <c r="B22" s="123">
        <v>8725.9500000000007</v>
      </c>
      <c r="C22" s="123">
        <f>ROUND(B22 / 'Курсы валют'!$B$1, 2)</f>
        <v>134.04</v>
      </c>
      <c r="D22" s="124">
        <f>ROUND(B22 / 'Курсы валют'!$B$2, 2)</f>
        <v>119.62</v>
      </c>
    </row>
    <row r="23" spans="1:4" x14ac:dyDescent="0.3">
      <c r="A23" s="125" t="s">
        <v>52</v>
      </c>
      <c r="B23" s="126">
        <v>8048.71</v>
      </c>
      <c r="C23" s="123">
        <f>ROUND(B23 / 'Курсы валют'!$B$1, 2)</f>
        <v>123.64</v>
      </c>
      <c r="D23" s="124">
        <f>ROUND(B23 / 'Курсы валют'!$B$2, 2)</f>
        <v>110.33</v>
      </c>
    </row>
    <row r="24" spans="1:4" ht="12.5" thickBot="1" x14ac:dyDescent="0.35">
      <c r="A24" s="120" t="s">
        <v>53</v>
      </c>
      <c r="B24" s="121">
        <f>SUM(B3:B23)</f>
        <v>227656.03</v>
      </c>
      <c r="C24" s="121">
        <f t="shared" ref="C24:D24" si="0">SUM(C3:C23)</f>
        <v>3496.9900000000002</v>
      </c>
      <c r="D24" s="121">
        <f t="shared" si="0"/>
        <v>3120.7199999999993</v>
      </c>
    </row>
    <row r="25" spans="1:4" ht="12.5" thickTop="1" x14ac:dyDescent="0.3"/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J7" sqref="J7"/>
    </sheetView>
  </sheetViews>
  <sheetFormatPr defaultColWidth="9.08984375" defaultRowHeight="12" x14ac:dyDescent="0.3"/>
  <cols>
    <col min="1" max="2" width="16.36328125" style="95" customWidth="1"/>
    <col min="3" max="3" width="21.6328125" style="95" customWidth="1"/>
    <col min="4" max="4" width="16.36328125" style="95" customWidth="1"/>
    <col min="5" max="5" width="14.90625" style="95" customWidth="1"/>
    <col min="6" max="6" width="15.36328125" style="95" customWidth="1"/>
    <col min="7" max="7" width="15.08984375" style="95" customWidth="1"/>
    <col min="8" max="8" width="8.984375E-2" style="95" customWidth="1"/>
    <col min="9" max="9" width="15.08984375" style="95" bestFit="1" customWidth="1"/>
    <col min="10" max="10" width="14.90625" style="95" customWidth="1"/>
    <col min="11" max="11" width="15.453125" style="95" customWidth="1"/>
    <col min="12" max="13" width="9.08984375" style="95"/>
    <col min="14" max="14" width="15.90625" style="95" customWidth="1"/>
    <col min="15" max="16384" width="9.08984375" style="95"/>
  </cols>
  <sheetData>
    <row r="1" spans="1:10" ht="12.5" thickBot="1" x14ac:dyDescent="0.35">
      <c r="A1" s="96" t="s">
        <v>375</v>
      </c>
      <c r="B1" s="97" t="s">
        <v>379</v>
      </c>
      <c r="F1" s="178" t="s">
        <v>378</v>
      </c>
      <c r="G1" s="178"/>
    </row>
    <row r="2" spans="1:10" ht="12.5" thickTop="1" x14ac:dyDescent="0.3">
      <c r="A2" s="98" t="s">
        <v>54</v>
      </c>
      <c r="B2" s="99" t="s">
        <v>55</v>
      </c>
      <c r="C2" s="99" t="s">
        <v>56</v>
      </c>
      <c r="D2" s="100" t="s">
        <v>57</v>
      </c>
      <c r="F2" s="101" t="s">
        <v>54</v>
      </c>
      <c r="G2" s="102" t="s">
        <v>57</v>
      </c>
    </row>
    <row r="3" spans="1:10" x14ac:dyDescent="0.3">
      <c r="A3" s="103" t="s">
        <v>58</v>
      </c>
      <c r="B3" s="104" t="s">
        <v>59</v>
      </c>
      <c r="C3" s="104" t="s">
        <v>60</v>
      </c>
      <c r="D3" s="105">
        <v>165663</v>
      </c>
      <c r="F3" s="106" t="s">
        <v>58</v>
      </c>
      <c r="G3" s="107">
        <f>SUMPRODUCT(SUBSTITUTE(D$3:D$35, "р.", "")*(A$3:A$35=F3))</f>
        <v>1540875</v>
      </c>
    </row>
    <row r="4" spans="1:10" x14ac:dyDescent="0.3">
      <c r="A4" s="103" t="s">
        <v>58</v>
      </c>
      <c r="B4" s="104" t="s">
        <v>61</v>
      </c>
      <c r="C4" s="104" t="s">
        <v>60</v>
      </c>
      <c r="D4" s="105">
        <v>159002</v>
      </c>
      <c r="F4" s="106" t="s">
        <v>62</v>
      </c>
      <c r="G4" s="107">
        <f t="shared" ref="G4:G6" si="0">SUMPRODUCT(SUBSTITUTE(D$3:D$35, "р.", "")*(A$3:A$35=F4))</f>
        <v>1409544</v>
      </c>
    </row>
    <row r="5" spans="1:10" x14ac:dyDescent="0.3">
      <c r="A5" s="103" t="s">
        <v>58</v>
      </c>
      <c r="B5" s="104" t="s">
        <v>63</v>
      </c>
      <c r="C5" s="104" t="s">
        <v>60</v>
      </c>
      <c r="D5" s="105">
        <v>180567</v>
      </c>
      <c r="F5" s="106" t="s">
        <v>64</v>
      </c>
      <c r="G5" s="107">
        <f t="shared" si="0"/>
        <v>1477884</v>
      </c>
    </row>
    <row r="6" spans="1:10" x14ac:dyDescent="0.3">
      <c r="A6" s="103" t="s">
        <v>58</v>
      </c>
      <c r="B6" s="104" t="s">
        <v>65</v>
      </c>
      <c r="C6" s="104" t="s">
        <v>60</v>
      </c>
      <c r="D6" s="105">
        <v>200000</v>
      </c>
      <c r="F6" s="106" t="s">
        <v>66</v>
      </c>
      <c r="G6" s="107">
        <f t="shared" si="0"/>
        <v>1463655</v>
      </c>
    </row>
    <row r="7" spans="1:10" x14ac:dyDescent="0.3">
      <c r="A7" s="103" t="s">
        <v>58</v>
      </c>
      <c r="B7" s="104" t="s">
        <v>65</v>
      </c>
      <c r="C7" s="104" t="s">
        <v>60</v>
      </c>
      <c r="D7" s="105">
        <v>175660</v>
      </c>
      <c r="F7" s="127"/>
      <c r="G7" s="128"/>
    </row>
    <row r="8" spans="1:10" ht="12.5" thickBot="1" x14ac:dyDescent="0.35">
      <c r="A8" s="103" t="s">
        <v>64</v>
      </c>
      <c r="B8" s="104" t="s">
        <v>59</v>
      </c>
      <c r="C8" s="104" t="s">
        <v>67</v>
      </c>
      <c r="D8" s="105">
        <v>200767</v>
      </c>
      <c r="F8" s="179" t="s">
        <v>377</v>
      </c>
      <c r="G8" s="179"/>
    </row>
    <row r="9" spans="1:10" ht="12.5" thickTop="1" x14ac:dyDescent="0.3">
      <c r="A9" s="103" t="s">
        <v>64</v>
      </c>
      <c r="B9" s="104" t="s">
        <v>61</v>
      </c>
      <c r="C9" s="104" t="s">
        <v>67</v>
      </c>
      <c r="D9" s="105">
        <v>190290</v>
      </c>
      <c r="F9" s="108" t="s">
        <v>55</v>
      </c>
      <c r="G9" s="102" t="s">
        <v>57</v>
      </c>
    </row>
    <row r="10" spans="1:10" x14ac:dyDescent="0.3">
      <c r="A10" s="103" t="s">
        <v>64</v>
      </c>
      <c r="B10" s="104" t="s">
        <v>63</v>
      </c>
      <c r="C10" s="104" t="s">
        <v>67</v>
      </c>
      <c r="D10" s="105">
        <v>155557</v>
      </c>
      <c r="F10" s="104" t="s">
        <v>59</v>
      </c>
      <c r="G10" s="107">
        <f>SUMPRODUCT(SUBSTITUTE(D$3:D$35, "р.", "")*(B$3:B$35=F10))</f>
        <v>1456780</v>
      </c>
    </row>
    <row r="11" spans="1:10" x14ac:dyDescent="0.3">
      <c r="A11" s="103" t="s">
        <v>64</v>
      </c>
      <c r="B11" s="104" t="s">
        <v>65</v>
      </c>
      <c r="C11" s="104" t="s">
        <v>67</v>
      </c>
      <c r="D11" s="105">
        <v>148990</v>
      </c>
      <c r="F11" s="104" t="s">
        <v>61</v>
      </c>
      <c r="G11" s="107">
        <f t="shared" ref="G11:G13" si="1">SUMPRODUCT(SUBSTITUTE(D$3:D$35, "р.", "")*(B$3:B$35=F11))</f>
        <v>1373190</v>
      </c>
    </row>
    <row r="12" spans="1:10" x14ac:dyDescent="0.3">
      <c r="A12" s="103" t="s">
        <v>62</v>
      </c>
      <c r="B12" s="104" t="s">
        <v>59</v>
      </c>
      <c r="C12" s="104" t="s">
        <v>68</v>
      </c>
      <c r="D12" s="105">
        <v>180567</v>
      </c>
      <c r="F12" s="104" t="s">
        <v>63</v>
      </c>
      <c r="G12" s="107">
        <f t="shared" si="1"/>
        <v>1471660</v>
      </c>
    </row>
    <row r="13" spans="1:10" x14ac:dyDescent="0.3">
      <c r="A13" s="103" t="s">
        <v>62</v>
      </c>
      <c r="B13" s="104" t="s">
        <v>61</v>
      </c>
      <c r="C13" s="104" t="s">
        <v>68</v>
      </c>
      <c r="D13" s="105">
        <v>175660</v>
      </c>
      <c r="F13" s="104" t="s">
        <v>65</v>
      </c>
      <c r="G13" s="107">
        <f t="shared" si="1"/>
        <v>1590328</v>
      </c>
    </row>
    <row r="14" spans="1:10" x14ac:dyDescent="0.3">
      <c r="A14" s="103" t="s">
        <v>62</v>
      </c>
      <c r="B14" s="104" t="s">
        <v>63</v>
      </c>
      <c r="C14" s="104" t="s">
        <v>68</v>
      </c>
      <c r="D14" s="105">
        <v>165778</v>
      </c>
    </row>
    <row r="15" spans="1:10" ht="12.5" thickBot="1" x14ac:dyDescent="0.35">
      <c r="A15" s="103" t="s">
        <v>62</v>
      </c>
      <c r="B15" s="104" t="s">
        <v>65</v>
      </c>
      <c r="C15" s="104" t="s">
        <v>68</v>
      </c>
      <c r="D15" s="105">
        <v>155339</v>
      </c>
      <c r="F15" s="178" t="s">
        <v>380</v>
      </c>
      <c r="G15" s="178"/>
    </row>
    <row r="16" spans="1:10" ht="13" thickTop="1" thickBot="1" x14ac:dyDescent="0.35">
      <c r="A16" s="103" t="s">
        <v>58</v>
      </c>
      <c r="B16" s="104" t="s">
        <v>59</v>
      </c>
      <c r="C16" s="104" t="s">
        <v>69</v>
      </c>
      <c r="D16" s="105">
        <v>155557</v>
      </c>
      <c r="F16" s="109" t="s">
        <v>57</v>
      </c>
      <c r="G16" s="108" t="s">
        <v>55</v>
      </c>
      <c r="J16" s="110"/>
    </row>
    <row r="17" spans="1:10" ht="12.5" thickTop="1" x14ac:dyDescent="0.3">
      <c r="A17" s="103" t="s">
        <v>58</v>
      </c>
      <c r="B17" s="104" t="s">
        <v>61</v>
      </c>
      <c r="C17" s="104" t="s">
        <v>69</v>
      </c>
      <c r="D17" s="105">
        <v>148990</v>
      </c>
      <c r="F17" s="111" t="s">
        <v>54</v>
      </c>
      <c r="G17" s="104" t="s">
        <v>59</v>
      </c>
      <c r="H17" s="102" t="s">
        <v>57</v>
      </c>
      <c r="J17" s="110"/>
    </row>
    <row r="18" spans="1:10" x14ac:dyDescent="0.3">
      <c r="A18" s="103" t="s">
        <v>58</v>
      </c>
      <c r="B18" s="104" t="s">
        <v>63</v>
      </c>
      <c r="C18" s="104" t="s">
        <v>69</v>
      </c>
      <c r="D18" s="105">
        <v>185223</v>
      </c>
      <c r="F18" s="106" t="s">
        <v>58</v>
      </c>
      <c r="G18" s="107">
        <f>SUMPRODUCT(SUBSTITUTE(D$3:D$35, "р.", "")*(A$3:A$35=F18)*(B$3:B$35=G$17))</f>
        <v>321220</v>
      </c>
      <c r="J18" s="110"/>
    </row>
    <row r="19" spans="1:10" x14ac:dyDescent="0.3">
      <c r="A19" s="103" t="s">
        <v>58</v>
      </c>
      <c r="B19" s="104" t="s">
        <v>65</v>
      </c>
      <c r="C19" s="104" t="s">
        <v>69</v>
      </c>
      <c r="D19" s="105">
        <v>170213</v>
      </c>
      <c r="F19" s="106" t="s">
        <v>62</v>
      </c>
      <c r="G19" s="107">
        <f t="shared" ref="G19:G21" si="2">SUMPRODUCT(SUBSTITUTE(D$3:D$35, "р.", "")*(A$3:A$35=F19)*(B$3:B$35=G$17))</f>
        <v>346345</v>
      </c>
    </row>
    <row r="20" spans="1:10" x14ac:dyDescent="0.3">
      <c r="A20" s="103" t="s">
        <v>62</v>
      </c>
      <c r="B20" s="104" t="s">
        <v>59</v>
      </c>
      <c r="C20" s="104" t="s">
        <v>70</v>
      </c>
      <c r="D20" s="105">
        <v>165778</v>
      </c>
      <c r="F20" s="106" t="s">
        <v>64</v>
      </c>
      <c r="G20" s="107">
        <f t="shared" si="2"/>
        <v>411647</v>
      </c>
    </row>
    <row r="21" spans="1:10" x14ac:dyDescent="0.3">
      <c r="A21" s="103" t="s">
        <v>62</v>
      </c>
      <c r="B21" s="104" t="s">
        <v>61</v>
      </c>
      <c r="C21" s="104" t="s">
        <v>70</v>
      </c>
      <c r="D21" s="105">
        <v>155339</v>
      </c>
      <c r="F21" s="106" t="s">
        <v>66</v>
      </c>
      <c r="G21" s="107">
        <f t="shared" si="2"/>
        <v>377568</v>
      </c>
    </row>
    <row r="22" spans="1:10" x14ac:dyDescent="0.3">
      <c r="A22" s="103" t="s">
        <v>62</v>
      </c>
      <c r="B22" s="104" t="s">
        <v>63</v>
      </c>
      <c r="C22" s="104" t="s">
        <v>70</v>
      </c>
      <c r="D22" s="105">
        <v>210880</v>
      </c>
    </row>
    <row r="23" spans="1:10" x14ac:dyDescent="0.3">
      <c r="A23" s="103" t="s">
        <v>62</v>
      </c>
      <c r="B23" s="104" t="s">
        <v>65</v>
      </c>
      <c r="C23" s="104" t="s">
        <v>70</v>
      </c>
      <c r="D23" s="105">
        <v>200203</v>
      </c>
    </row>
    <row r="24" spans="1:10" x14ac:dyDescent="0.3">
      <c r="A24" s="103" t="s">
        <v>66</v>
      </c>
      <c r="B24" s="104" t="s">
        <v>59</v>
      </c>
      <c r="C24" s="104" t="s">
        <v>71</v>
      </c>
      <c r="D24" s="105">
        <v>185223</v>
      </c>
    </row>
    <row r="25" spans="1:10" x14ac:dyDescent="0.3">
      <c r="A25" s="103" t="s">
        <v>66</v>
      </c>
      <c r="B25" s="104" t="s">
        <v>61</v>
      </c>
      <c r="C25" s="104" t="s">
        <v>71</v>
      </c>
      <c r="D25" s="105">
        <v>170213</v>
      </c>
    </row>
    <row r="26" spans="1:10" x14ac:dyDescent="0.3">
      <c r="A26" s="103" t="s">
        <v>66</v>
      </c>
      <c r="B26" s="104" t="s">
        <v>63</v>
      </c>
      <c r="C26" s="104" t="s">
        <v>71</v>
      </c>
      <c r="D26" s="105">
        <v>192345</v>
      </c>
    </row>
    <row r="27" spans="1:10" x14ac:dyDescent="0.3">
      <c r="A27" s="103" t="s">
        <v>66</v>
      </c>
      <c r="B27" s="104" t="s">
        <v>65</v>
      </c>
      <c r="C27" s="104" t="s">
        <v>71</v>
      </c>
      <c r="D27" s="105">
        <v>173493</v>
      </c>
    </row>
    <row r="28" spans="1:10" x14ac:dyDescent="0.3">
      <c r="A28" s="103" t="s">
        <v>64</v>
      </c>
      <c r="B28" s="104" t="s">
        <v>59</v>
      </c>
      <c r="C28" s="104" t="s">
        <v>72</v>
      </c>
      <c r="D28" s="105">
        <v>210880</v>
      </c>
    </row>
    <row r="29" spans="1:10" x14ac:dyDescent="0.3">
      <c r="A29" s="103" t="s">
        <v>64</v>
      </c>
      <c r="B29" s="104" t="s">
        <v>61</v>
      </c>
      <c r="C29" s="104" t="s">
        <v>72</v>
      </c>
      <c r="D29" s="105">
        <v>200203</v>
      </c>
    </row>
    <row r="30" spans="1:10" x14ac:dyDescent="0.3">
      <c r="A30" s="103" t="s">
        <v>64</v>
      </c>
      <c r="B30" s="104" t="s">
        <v>63</v>
      </c>
      <c r="C30" s="104" t="s">
        <v>72</v>
      </c>
      <c r="D30" s="105">
        <v>205534</v>
      </c>
    </row>
    <row r="31" spans="1:10" x14ac:dyDescent="0.3">
      <c r="A31" s="103" t="s">
        <v>64</v>
      </c>
      <c r="B31" s="104" t="s">
        <v>65</v>
      </c>
      <c r="C31" s="104" t="s">
        <v>72</v>
      </c>
      <c r="D31" s="105">
        <v>165663</v>
      </c>
    </row>
    <row r="32" spans="1:10" x14ac:dyDescent="0.3">
      <c r="A32" s="103" t="s">
        <v>66</v>
      </c>
      <c r="B32" s="104" t="s">
        <v>59</v>
      </c>
      <c r="C32" s="104" t="s">
        <v>73</v>
      </c>
      <c r="D32" s="105">
        <v>192345</v>
      </c>
    </row>
    <row r="33" spans="1:4" x14ac:dyDescent="0.3">
      <c r="A33" s="103" t="s">
        <v>66</v>
      </c>
      <c r="B33" s="104" t="s">
        <v>61</v>
      </c>
      <c r="C33" s="104" t="s">
        <v>73</v>
      </c>
      <c r="D33" s="105">
        <v>173493</v>
      </c>
    </row>
    <row r="34" spans="1:4" x14ac:dyDescent="0.3">
      <c r="A34" s="103" t="s">
        <v>66</v>
      </c>
      <c r="B34" s="104" t="s">
        <v>63</v>
      </c>
      <c r="C34" s="104" t="s">
        <v>73</v>
      </c>
      <c r="D34" s="105">
        <v>175776</v>
      </c>
    </row>
    <row r="35" spans="1:4" x14ac:dyDescent="0.3">
      <c r="A35" s="112" t="s">
        <v>66</v>
      </c>
      <c r="B35" s="113" t="s">
        <v>65</v>
      </c>
      <c r="C35" s="113" t="s">
        <v>73</v>
      </c>
      <c r="D35" s="114">
        <v>200767</v>
      </c>
    </row>
  </sheetData>
  <mergeCells count="3">
    <mergeCell ref="F1:G1"/>
    <mergeCell ref="F8:G8"/>
    <mergeCell ref="F15:G1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>
      <selection activeCell="J9" sqref="J9"/>
    </sheetView>
  </sheetViews>
  <sheetFormatPr defaultColWidth="9.08984375" defaultRowHeight="12" x14ac:dyDescent="0.3"/>
  <cols>
    <col min="1" max="1" width="34.90625" style="95" bestFit="1" customWidth="1"/>
    <col min="2" max="2" width="9.08984375" style="95" customWidth="1"/>
    <col min="3" max="3" width="14.90625" style="95" customWidth="1"/>
    <col min="4" max="4" width="10.08984375" style="95" customWidth="1"/>
    <col min="5" max="5" width="24.6328125" style="95" customWidth="1"/>
    <col min="6" max="6" width="7.6328125" style="95" customWidth="1"/>
    <col min="7" max="7" width="23.453125" style="95" customWidth="1"/>
    <col min="8" max="16384" width="9.08984375" style="95"/>
  </cols>
  <sheetData>
    <row r="1" spans="1:9" x14ac:dyDescent="0.3">
      <c r="A1" s="96" t="s">
        <v>375</v>
      </c>
      <c r="B1" s="97" t="s">
        <v>381</v>
      </c>
    </row>
    <row r="2" spans="1:9" ht="12.5" thickBot="1" x14ac:dyDescent="0.35">
      <c r="A2" s="133" t="s">
        <v>74</v>
      </c>
      <c r="B2" s="133" t="s">
        <v>75</v>
      </c>
      <c r="C2" s="133" t="s">
        <v>76</v>
      </c>
      <c r="D2" s="133" t="s">
        <v>77</v>
      </c>
      <c r="E2" s="133" t="s">
        <v>469</v>
      </c>
      <c r="G2" s="180" t="s">
        <v>382</v>
      </c>
      <c r="H2" s="181"/>
    </row>
    <row r="3" spans="1:9" x14ac:dyDescent="0.3">
      <c r="A3" s="130" t="s">
        <v>383</v>
      </c>
      <c r="B3" s="130" t="s">
        <v>79</v>
      </c>
      <c r="C3" s="130" t="s">
        <v>80</v>
      </c>
      <c r="D3" s="130">
        <f>IF(C3="Менеджер",400000,IF(C3="Эксперт",95000,IF(C3="Юрист",65000,75000)))</f>
        <v>400000</v>
      </c>
      <c r="E3" s="130" t="s">
        <v>470</v>
      </c>
      <c r="G3" s="129" t="s">
        <v>76</v>
      </c>
      <c r="H3" s="129" t="s">
        <v>81</v>
      </c>
    </row>
    <row r="4" spans="1:9" x14ac:dyDescent="0.3">
      <c r="A4" s="130" t="s">
        <v>384</v>
      </c>
      <c r="B4" s="130" t="s">
        <v>82</v>
      </c>
      <c r="C4" s="130" t="s">
        <v>80</v>
      </c>
      <c r="D4" s="130">
        <f t="shared" ref="D4:D67" si="0">IF(C4="Менеджер",400000,IF(C4="Эксперт",95000,IF(C4="Юрист",65000,75000)))</f>
        <v>400000</v>
      </c>
      <c r="E4" s="130" t="s">
        <v>470</v>
      </c>
      <c r="G4" s="130" t="s">
        <v>80</v>
      </c>
      <c r="H4" s="130">
        <f>COUNTIF(C$3:C$88,G4)</f>
        <v>71</v>
      </c>
      <c r="I4" s="131"/>
    </row>
    <row r="5" spans="1:9" x14ac:dyDescent="0.3">
      <c r="A5" s="130" t="s">
        <v>385</v>
      </c>
      <c r="B5" s="130" t="s">
        <v>79</v>
      </c>
      <c r="C5" s="130" t="s">
        <v>83</v>
      </c>
      <c r="D5" s="130">
        <f t="shared" si="0"/>
        <v>95000</v>
      </c>
      <c r="E5" s="130" t="s">
        <v>471</v>
      </c>
      <c r="G5" s="130" t="s">
        <v>83</v>
      </c>
      <c r="H5" s="130">
        <f t="shared" ref="H5:H7" si="1">COUNTIF(C$3:C$88,G5)</f>
        <v>8</v>
      </c>
      <c r="I5" s="131"/>
    </row>
    <row r="6" spans="1:9" x14ac:dyDescent="0.3">
      <c r="A6" s="130" t="s">
        <v>386</v>
      </c>
      <c r="B6" s="130" t="s">
        <v>79</v>
      </c>
      <c r="C6" s="130" t="s">
        <v>80</v>
      </c>
      <c r="D6" s="130">
        <f t="shared" si="0"/>
        <v>400000</v>
      </c>
      <c r="E6" s="130" t="s">
        <v>472</v>
      </c>
      <c r="G6" s="130" t="s">
        <v>84</v>
      </c>
      <c r="H6" s="130">
        <f t="shared" si="1"/>
        <v>5</v>
      </c>
      <c r="I6" s="131"/>
    </row>
    <row r="7" spans="1:9" x14ac:dyDescent="0.3">
      <c r="A7" s="130" t="s">
        <v>387</v>
      </c>
      <c r="B7" s="130" t="s">
        <v>79</v>
      </c>
      <c r="C7" s="130" t="s">
        <v>80</v>
      </c>
      <c r="D7" s="130">
        <f t="shared" si="0"/>
        <v>400000</v>
      </c>
      <c r="E7" s="130" t="s">
        <v>471</v>
      </c>
      <c r="G7" s="130" t="s">
        <v>85</v>
      </c>
      <c r="H7" s="130">
        <f t="shared" si="1"/>
        <v>2</v>
      </c>
      <c r="I7" s="131"/>
    </row>
    <row r="8" spans="1:9" x14ac:dyDescent="0.3">
      <c r="A8" s="130" t="s">
        <v>388</v>
      </c>
      <c r="B8" s="130" t="s">
        <v>82</v>
      </c>
      <c r="C8" s="130" t="s">
        <v>80</v>
      </c>
      <c r="D8" s="130">
        <f t="shared" si="0"/>
        <v>400000</v>
      </c>
      <c r="E8" s="130" t="s">
        <v>471</v>
      </c>
    </row>
    <row r="9" spans="1:9" ht="12.5" thickBot="1" x14ac:dyDescent="0.35">
      <c r="A9" s="130" t="s">
        <v>389</v>
      </c>
      <c r="B9" s="130" t="s">
        <v>79</v>
      </c>
      <c r="C9" s="130" t="s">
        <v>84</v>
      </c>
      <c r="D9" s="130">
        <f t="shared" si="0"/>
        <v>65000</v>
      </c>
      <c r="E9" s="130" t="s">
        <v>473</v>
      </c>
      <c r="G9" s="180" t="s">
        <v>475</v>
      </c>
      <c r="H9" s="181"/>
    </row>
    <row r="10" spans="1:9" x14ac:dyDescent="0.3">
      <c r="A10" s="130" t="s">
        <v>390</v>
      </c>
      <c r="B10" s="130" t="s">
        <v>79</v>
      </c>
      <c r="C10" s="130" t="s">
        <v>80</v>
      </c>
      <c r="D10" s="130">
        <f t="shared" si="0"/>
        <v>400000</v>
      </c>
      <c r="E10" s="130" t="s">
        <v>471</v>
      </c>
      <c r="G10" s="129" t="s">
        <v>78</v>
      </c>
      <c r="H10" s="129" t="s">
        <v>82</v>
      </c>
    </row>
    <row r="11" spans="1:9" x14ac:dyDescent="0.3">
      <c r="A11" s="130" t="s">
        <v>391</v>
      </c>
      <c r="B11" s="130" t="s">
        <v>79</v>
      </c>
      <c r="C11" s="130" t="s">
        <v>80</v>
      </c>
      <c r="D11" s="130">
        <f t="shared" si="0"/>
        <v>400000</v>
      </c>
      <c r="E11" s="130" t="s">
        <v>471</v>
      </c>
      <c r="G11" s="130" t="s">
        <v>470</v>
      </c>
      <c r="H11" s="132">
        <f>COUNTIFS(E$3:E$88,G11,B$3:B$88,H$10)</f>
        <v>7</v>
      </c>
      <c r="I11" s="131"/>
    </row>
    <row r="12" spans="1:9" x14ac:dyDescent="0.3">
      <c r="A12" s="130" t="s">
        <v>392</v>
      </c>
      <c r="B12" s="130" t="s">
        <v>79</v>
      </c>
      <c r="C12" s="130" t="s">
        <v>80</v>
      </c>
      <c r="D12" s="130">
        <f t="shared" si="0"/>
        <v>400000</v>
      </c>
      <c r="E12" s="130" t="s">
        <v>471</v>
      </c>
      <c r="G12" s="130" t="s">
        <v>471</v>
      </c>
      <c r="H12" s="132">
        <f t="shared" ref="H12:H15" si="2">COUNTIFS(E$3:E$88,G12,B$3:B$88,H$10)</f>
        <v>19</v>
      </c>
      <c r="I12" s="131"/>
    </row>
    <row r="13" spans="1:9" x14ac:dyDescent="0.3">
      <c r="A13" s="130" t="s">
        <v>393</v>
      </c>
      <c r="B13" s="130" t="s">
        <v>79</v>
      </c>
      <c r="C13" s="130" t="s">
        <v>80</v>
      </c>
      <c r="D13" s="130">
        <f t="shared" si="0"/>
        <v>400000</v>
      </c>
      <c r="E13" s="130" t="s">
        <v>471</v>
      </c>
      <c r="G13" s="130" t="s">
        <v>472</v>
      </c>
      <c r="H13" s="132">
        <f t="shared" si="2"/>
        <v>1</v>
      </c>
      <c r="I13" s="131"/>
    </row>
    <row r="14" spans="1:9" x14ac:dyDescent="0.3">
      <c r="A14" s="130" t="s">
        <v>394</v>
      </c>
      <c r="B14" s="130" t="s">
        <v>79</v>
      </c>
      <c r="C14" s="130" t="s">
        <v>80</v>
      </c>
      <c r="D14" s="130">
        <f t="shared" si="0"/>
        <v>400000</v>
      </c>
      <c r="E14" s="130" t="s">
        <v>471</v>
      </c>
      <c r="G14" s="130" t="s">
        <v>473</v>
      </c>
      <c r="H14" s="132">
        <f t="shared" si="2"/>
        <v>0</v>
      </c>
      <c r="I14" s="131"/>
    </row>
    <row r="15" spans="1:9" x14ac:dyDescent="0.3">
      <c r="A15" s="130" t="s">
        <v>395</v>
      </c>
      <c r="B15" s="130" t="s">
        <v>79</v>
      </c>
      <c r="C15" s="130" t="s">
        <v>80</v>
      </c>
      <c r="D15" s="130">
        <f t="shared" si="0"/>
        <v>400000</v>
      </c>
      <c r="E15" s="130" t="s">
        <v>471</v>
      </c>
      <c r="G15" s="130" t="s">
        <v>474</v>
      </c>
      <c r="H15" s="132">
        <f t="shared" si="2"/>
        <v>0</v>
      </c>
      <c r="I15" s="131"/>
    </row>
    <row r="16" spans="1:9" x14ac:dyDescent="0.3">
      <c r="A16" s="130" t="s">
        <v>396</v>
      </c>
      <c r="B16" s="130" t="s">
        <v>82</v>
      </c>
      <c r="C16" s="130" t="s">
        <v>84</v>
      </c>
      <c r="D16" s="130">
        <f t="shared" si="0"/>
        <v>65000</v>
      </c>
      <c r="E16" s="130" t="s">
        <v>471</v>
      </c>
    </row>
    <row r="17" spans="1:5" x14ac:dyDescent="0.3">
      <c r="A17" s="130" t="s">
        <v>397</v>
      </c>
      <c r="B17" s="130" t="s">
        <v>79</v>
      </c>
      <c r="C17" s="130" t="s">
        <v>80</v>
      </c>
      <c r="D17" s="130">
        <f t="shared" si="0"/>
        <v>400000</v>
      </c>
      <c r="E17" s="130" t="s">
        <v>471</v>
      </c>
    </row>
    <row r="18" spans="1:5" x14ac:dyDescent="0.3">
      <c r="A18" s="130" t="s">
        <v>398</v>
      </c>
      <c r="B18" s="130" t="s">
        <v>79</v>
      </c>
      <c r="C18" s="130" t="s">
        <v>80</v>
      </c>
      <c r="D18" s="130">
        <f t="shared" si="0"/>
        <v>400000</v>
      </c>
      <c r="E18" s="130" t="s">
        <v>471</v>
      </c>
    </row>
    <row r="19" spans="1:5" x14ac:dyDescent="0.3">
      <c r="A19" s="130" t="s">
        <v>399</v>
      </c>
      <c r="B19" s="130" t="s">
        <v>79</v>
      </c>
      <c r="C19" s="130" t="s">
        <v>80</v>
      </c>
      <c r="D19" s="130">
        <f t="shared" si="0"/>
        <v>400000</v>
      </c>
      <c r="E19" s="130" t="s">
        <v>471</v>
      </c>
    </row>
    <row r="20" spans="1:5" x14ac:dyDescent="0.3">
      <c r="A20" s="130" t="s">
        <v>400</v>
      </c>
      <c r="B20" s="130" t="s">
        <v>79</v>
      </c>
      <c r="C20" s="130" t="s">
        <v>83</v>
      </c>
      <c r="D20" s="130">
        <f t="shared" si="0"/>
        <v>95000</v>
      </c>
      <c r="E20" s="130" t="s">
        <v>472</v>
      </c>
    </row>
    <row r="21" spans="1:5" x14ac:dyDescent="0.3">
      <c r="A21" s="130" t="s">
        <v>401</v>
      </c>
      <c r="B21" s="130" t="s">
        <v>79</v>
      </c>
      <c r="C21" s="130" t="s">
        <v>80</v>
      </c>
      <c r="D21" s="130">
        <f t="shared" si="0"/>
        <v>400000</v>
      </c>
      <c r="E21" s="130" t="s">
        <v>471</v>
      </c>
    </row>
    <row r="22" spans="1:5" x14ac:dyDescent="0.3">
      <c r="A22" s="130" t="s">
        <v>402</v>
      </c>
      <c r="B22" s="130" t="s">
        <v>79</v>
      </c>
      <c r="C22" s="130" t="s">
        <v>80</v>
      </c>
      <c r="D22" s="130">
        <f t="shared" si="0"/>
        <v>400000</v>
      </c>
      <c r="E22" s="130" t="s">
        <v>470</v>
      </c>
    </row>
    <row r="23" spans="1:5" x14ac:dyDescent="0.3">
      <c r="A23" s="130" t="s">
        <v>403</v>
      </c>
      <c r="B23" s="130" t="s">
        <v>79</v>
      </c>
      <c r="C23" s="130" t="s">
        <v>80</v>
      </c>
      <c r="D23" s="130">
        <f t="shared" si="0"/>
        <v>400000</v>
      </c>
      <c r="E23" s="130" t="s">
        <v>471</v>
      </c>
    </row>
    <row r="24" spans="1:5" x14ac:dyDescent="0.3">
      <c r="A24" s="130" t="s">
        <v>404</v>
      </c>
      <c r="B24" s="130" t="s">
        <v>82</v>
      </c>
      <c r="C24" s="130" t="s">
        <v>80</v>
      </c>
      <c r="D24" s="130">
        <f t="shared" si="0"/>
        <v>400000</v>
      </c>
      <c r="E24" s="130" t="s">
        <v>471</v>
      </c>
    </row>
    <row r="25" spans="1:5" x14ac:dyDescent="0.3">
      <c r="A25" s="130" t="s">
        <v>405</v>
      </c>
      <c r="B25" s="130" t="s">
        <v>79</v>
      </c>
      <c r="C25" s="130" t="s">
        <v>83</v>
      </c>
      <c r="D25" s="130">
        <f t="shared" si="0"/>
        <v>95000</v>
      </c>
      <c r="E25" s="130" t="s">
        <v>472</v>
      </c>
    </row>
    <row r="26" spans="1:5" x14ac:dyDescent="0.3">
      <c r="A26" s="130" t="s">
        <v>406</v>
      </c>
      <c r="B26" s="130" t="s">
        <v>79</v>
      </c>
      <c r="C26" s="130" t="s">
        <v>83</v>
      </c>
      <c r="D26" s="130">
        <f t="shared" si="0"/>
        <v>95000</v>
      </c>
      <c r="E26" s="130" t="s">
        <v>473</v>
      </c>
    </row>
    <row r="27" spans="1:5" x14ac:dyDescent="0.3">
      <c r="A27" s="130" t="s">
        <v>407</v>
      </c>
      <c r="B27" s="130" t="s">
        <v>79</v>
      </c>
      <c r="C27" s="130" t="s">
        <v>80</v>
      </c>
      <c r="D27" s="130">
        <f t="shared" si="0"/>
        <v>400000</v>
      </c>
      <c r="E27" s="130" t="s">
        <v>470</v>
      </c>
    </row>
    <row r="28" spans="1:5" x14ac:dyDescent="0.3">
      <c r="A28" s="130" t="s">
        <v>408</v>
      </c>
      <c r="B28" s="130" t="s">
        <v>82</v>
      </c>
      <c r="C28" s="130" t="s">
        <v>80</v>
      </c>
      <c r="D28" s="130">
        <f t="shared" si="0"/>
        <v>400000</v>
      </c>
      <c r="E28" s="130" t="s">
        <v>470</v>
      </c>
    </row>
    <row r="29" spans="1:5" x14ac:dyDescent="0.3">
      <c r="A29" s="130" t="s">
        <v>409</v>
      </c>
      <c r="B29" s="130" t="s">
        <v>79</v>
      </c>
      <c r="C29" s="130" t="s">
        <v>85</v>
      </c>
      <c r="D29" s="130">
        <f t="shared" si="0"/>
        <v>75000</v>
      </c>
      <c r="E29" s="130" t="s">
        <v>473</v>
      </c>
    </row>
    <row r="30" spans="1:5" x14ac:dyDescent="0.3">
      <c r="A30" s="130" t="s">
        <v>410</v>
      </c>
      <c r="B30" s="130" t="s">
        <v>79</v>
      </c>
      <c r="C30" s="130" t="s">
        <v>80</v>
      </c>
      <c r="D30" s="130">
        <f t="shared" si="0"/>
        <v>400000</v>
      </c>
      <c r="E30" s="130" t="s">
        <v>471</v>
      </c>
    </row>
    <row r="31" spans="1:5" x14ac:dyDescent="0.3">
      <c r="A31" s="130" t="s">
        <v>411</v>
      </c>
      <c r="B31" s="130" t="s">
        <v>79</v>
      </c>
      <c r="C31" s="130" t="s">
        <v>84</v>
      </c>
      <c r="D31" s="130">
        <f t="shared" si="0"/>
        <v>65000</v>
      </c>
      <c r="E31" s="130" t="s">
        <v>471</v>
      </c>
    </row>
    <row r="32" spans="1:5" x14ac:dyDescent="0.3">
      <c r="A32" s="130" t="s">
        <v>412</v>
      </c>
      <c r="B32" s="130" t="s">
        <v>82</v>
      </c>
      <c r="C32" s="130" t="s">
        <v>80</v>
      </c>
      <c r="D32" s="130">
        <f t="shared" si="0"/>
        <v>400000</v>
      </c>
      <c r="E32" s="130" t="s">
        <v>471</v>
      </c>
    </row>
    <row r="33" spans="1:5" x14ac:dyDescent="0.3">
      <c r="A33" s="130" t="s">
        <v>413</v>
      </c>
      <c r="B33" s="130" t="s">
        <v>79</v>
      </c>
      <c r="C33" s="130" t="s">
        <v>80</v>
      </c>
      <c r="D33" s="130">
        <f t="shared" si="0"/>
        <v>400000</v>
      </c>
      <c r="E33" s="130" t="s">
        <v>471</v>
      </c>
    </row>
    <row r="34" spans="1:5" x14ac:dyDescent="0.3">
      <c r="A34" s="130" t="s">
        <v>414</v>
      </c>
      <c r="B34" s="130" t="s">
        <v>79</v>
      </c>
      <c r="C34" s="130" t="s">
        <v>80</v>
      </c>
      <c r="D34" s="130">
        <f t="shared" si="0"/>
        <v>400000</v>
      </c>
      <c r="E34" s="130" t="s">
        <v>471</v>
      </c>
    </row>
    <row r="35" spans="1:5" x14ac:dyDescent="0.3">
      <c r="A35" s="130" t="s">
        <v>415</v>
      </c>
      <c r="B35" s="130" t="s">
        <v>82</v>
      </c>
      <c r="C35" s="130" t="s">
        <v>80</v>
      </c>
      <c r="D35" s="130">
        <f t="shared" si="0"/>
        <v>400000</v>
      </c>
      <c r="E35" s="130" t="s">
        <v>471</v>
      </c>
    </row>
    <row r="36" spans="1:5" x14ac:dyDescent="0.3">
      <c r="A36" s="130" t="s">
        <v>416</v>
      </c>
      <c r="B36" s="130" t="s">
        <v>82</v>
      </c>
      <c r="C36" s="130" t="s">
        <v>80</v>
      </c>
      <c r="D36" s="130">
        <f t="shared" si="0"/>
        <v>400000</v>
      </c>
      <c r="E36" s="130" t="s">
        <v>471</v>
      </c>
    </row>
    <row r="37" spans="1:5" x14ac:dyDescent="0.3">
      <c r="A37" s="130" t="s">
        <v>417</v>
      </c>
      <c r="B37" s="130" t="s">
        <v>79</v>
      </c>
      <c r="C37" s="130" t="s">
        <v>80</v>
      </c>
      <c r="D37" s="130">
        <f t="shared" si="0"/>
        <v>400000</v>
      </c>
      <c r="E37" s="130" t="s">
        <v>471</v>
      </c>
    </row>
    <row r="38" spans="1:5" x14ac:dyDescent="0.3">
      <c r="A38" s="130" t="s">
        <v>418</v>
      </c>
      <c r="B38" s="130" t="s">
        <v>79</v>
      </c>
      <c r="C38" s="130" t="s">
        <v>80</v>
      </c>
      <c r="D38" s="130">
        <f t="shared" si="0"/>
        <v>400000</v>
      </c>
      <c r="E38" s="130" t="s">
        <v>471</v>
      </c>
    </row>
    <row r="39" spans="1:5" x14ac:dyDescent="0.3">
      <c r="A39" s="130" t="s">
        <v>419</v>
      </c>
      <c r="B39" s="130" t="s">
        <v>82</v>
      </c>
      <c r="C39" s="130" t="s">
        <v>80</v>
      </c>
      <c r="D39" s="130">
        <f t="shared" si="0"/>
        <v>400000</v>
      </c>
      <c r="E39" s="130" t="s">
        <v>471</v>
      </c>
    </row>
    <row r="40" spans="1:5" x14ac:dyDescent="0.3">
      <c r="A40" s="130" t="s">
        <v>420</v>
      </c>
      <c r="B40" s="130" t="s">
        <v>79</v>
      </c>
      <c r="C40" s="130" t="s">
        <v>80</v>
      </c>
      <c r="D40" s="130">
        <f t="shared" si="0"/>
        <v>400000</v>
      </c>
      <c r="E40" s="130" t="s">
        <v>471</v>
      </c>
    </row>
    <row r="41" spans="1:5" x14ac:dyDescent="0.3">
      <c r="A41" s="130" t="s">
        <v>421</v>
      </c>
      <c r="B41" s="130" t="s">
        <v>82</v>
      </c>
      <c r="C41" s="130" t="s">
        <v>80</v>
      </c>
      <c r="D41" s="130">
        <f t="shared" si="0"/>
        <v>400000</v>
      </c>
      <c r="E41" s="130" t="s">
        <v>471</v>
      </c>
    </row>
    <row r="42" spans="1:5" x14ac:dyDescent="0.3">
      <c r="A42" s="130" t="s">
        <v>422</v>
      </c>
      <c r="B42" s="130" t="s">
        <v>79</v>
      </c>
      <c r="C42" s="130" t="s">
        <v>80</v>
      </c>
      <c r="D42" s="130">
        <f t="shared" si="0"/>
        <v>400000</v>
      </c>
      <c r="E42" s="130" t="s">
        <v>471</v>
      </c>
    </row>
    <row r="43" spans="1:5" x14ac:dyDescent="0.3">
      <c r="A43" s="130" t="s">
        <v>423</v>
      </c>
      <c r="B43" s="130" t="s">
        <v>79</v>
      </c>
      <c r="C43" s="130" t="s">
        <v>80</v>
      </c>
      <c r="D43" s="130">
        <f t="shared" si="0"/>
        <v>400000</v>
      </c>
      <c r="E43" s="130" t="s">
        <v>471</v>
      </c>
    </row>
    <row r="44" spans="1:5" x14ac:dyDescent="0.3">
      <c r="A44" s="130" t="s">
        <v>424</v>
      </c>
      <c r="B44" s="130" t="s">
        <v>79</v>
      </c>
      <c r="C44" s="130" t="s">
        <v>85</v>
      </c>
      <c r="D44" s="130">
        <f t="shared" si="0"/>
        <v>75000</v>
      </c>
      <c r="E44" s="130" t="s">
        <v>473</v>
      </c>
    </row>
    <row r="45" spans="1:5" x14ac:dyDescent="0.3">
      <c r="A45" s="130" t="s">
        <v>425</v>
      </c>
      <c r="B45" s="130" t="s">
        <v>79</v>
      </c>
      <c r="C45" s="130" t="s">
        <v>83</v>
      </c>
      <c r="D45" s="130">
        <f t="shared" si="0"/>
        <v>95000</v>
      </c>
      <c r="E45" s="130" t="s">
        <v>472</v>
      </c>
    </row>
    <row r="46" spans="1:5" x14ac:dyDescent="0.3">
      <c r="A46" s="130" t="s">
        <v>426</v>
      </c>
      <c r="B46" s="130" t="s">
        <v>79</v>
      </c>
      <c r="C46" s="130" t="s">
        <v>80</v>
      </c>
      <c r="D46" s="130">
        <f t="shared" si="0"/>
        <v>400000</v>
      </c>
      <c r="E46" s="130" t="s">
        <v>471</v>
      </c>
    </row>
    <row r="47" spans="1:5" x14ac:dyDescent="0.3">
      <c r="A47" s="130" t="s">
        <v>427</v>
      </c>
      <c r="B47" s="130" t="s">
        <v>79</v>
      </c>
      <c r="C47" s="130" t="s">
        <v>80</v>
      </c>
      <c r="D47" s="130">
        <f t="shared" si="0"/>
        <v>400000</v>
      </c>
      <c r="E47" s="130" t="s">
        <v>471</v>
      </c>
    </row>
    <row r="48" spans="1:5" x14ac:dyDescent="0.3">
      <c r="A48" s="130" t="s">
        <v>428</v>
      </c>
      <c r="B48" s="130" t="s">
        <v>82</v>
      </c>
      <c r="C48" s="130" t="s">
        <v>80</v>
      </c>
      <c r="D48" s="130">
        <f t="shared" si="0"/>
        <v>400000</v>
      </c>
      <c r="E48" s="130" t="s">
        <v>471</v>
      </c>
    </row>
    <row r="49" spans="1:5" x14ac:dyDescent="0.3">
      <c r="A49" s="130" t="s">
        <v>429</v>
      </c>
      <c r="B49" s="130" t="s">
        <v>79</v>
      </c>
      <c r="C49" s="130" t="s">
        <v>80</v>
      </c>
      <c r="D49" s="130">
        <f t="shared" si="0"/>
        <v>400000</v>
      </c>
      <c r="E49" s="130" t="s">
        <v>471</v>
      </c>
    </row>
    <row r="50" spans="1:5" x14ac:dyDescent="0.3">
      <c r="A50" s="130" t="s">
        <v>430</v>
      </c>
      <c r="B50" s="130" t="s">
        <v>82</v>
      </c>
      <c r="C50" s="130" t="s">
        <v>80</v>
      </c>
      <c r="D50" s="130">
        <f t="shared" si="0"/>
        <v>400000</v>
      </c>
      <c r="E50" s="130" t="s">
        <v>471</v>
      </c>
    </row>
    <row r="51" spans="1:5" x14ac:dyDescent="0.3">
      <c r="A51" s="130" t="s">
        <v>431</v>
      </c>
      <c r="B51" s="130" t="s">
        <v>79</v>
      </c>
      <c r="C51" s="130" t="s">
        <v>80</v>
      </c>
      <c r="D51" s="130">
        <f t="shared" si="0"/>
        <v>400000</v>
      </c>
      <c r="E51" s="130" t="s">
        <v>471</v>
      </c>
    </row>
    <row r="52" spans="1:5" x14ac:dyDescent="0.3">
      <c r="A52" s="130" t="s">
        <v>432</v>
      </c>
      <c r="B52" s="130" t="s">
        <v>82</v>
      </c>
      <c r="C52" s="130" t="s">
        <v>80</v>
      </c>
      <c r="D52" s="130">
        <f t="shared" si="0"/>
        <v>400000</v>
      </c>
      <c r="E52" s="130" t="s">
        <v>471</v>
      </c>
    </row>
    <row r="53" spans="1:5" x14ac:dyDescent="0.3">
      <c r="A53" s="130" t="s">
        <v>433</v>
      </c>
      <c r="B53" s="130" t="s">
        <v>82</v>
      </c>
      <c r="C53" s="130" t="s">
        <v>80</v>
      </c>
      <c r="D53" s="130">
        <f t="shared" si="0"/>
        <v>400000</v>
      </c>
      <c r="E53" s="130" t="s">
        <v>471</v>
      </c>
    </row>
    <row r="54" spans="1:5" x14ac:dyDescent="0.3">
      <c r="A54" s="130" t="s">
        <v>434</v>
      </c>
      <c r="B54" s="130" t="s">
        <v>82</v>
      </c>
      <c r="C54" s="130" t="s">
        <v>80</v>
      </c>
      <c r="D54" s="130">
        <f t="shared" si="0"/>
        <v>400000</v>
      </c>
      <c r="E54" s="130" t="s">
        <v>470</v>
      </c>
    </row>
    <row r="55" spans="1:5" x14ac:dyDescent="0.3">
      <c r="A55" s="130" t="s">
        <v>435</v>
      </c>
      <c r="B55" s="130" t="s">
        <v>82</v>
      </c>
      <c r="C55" s="130" t="s">
        <v>80</v>
      </c>
      <c r="D55" s="130">
        <f t="shared" si="0"/>
        <v>400000</v>
      </c>
      <c r="E55" s="130" t="s">
        <v>471</v>
      </c>
    </row>
    <row r="56" spans="1:5" x14ac:dyDescent="0.3">
      <c r="A56" s="130" t="s">
        <v>436</v>
      </c>
      <c r="B56" s="130" t="s">
        <v>79</v>
      </c>
      <c r="C56" s="130" t="s">
        <v>80</v>
      </c>
      <c r="D56" s="130">
        <f t="shared" si="0"/>
        <v>400000</v>
      </c>
      <c r="E56" s="130" t="s">
        <v>471</v>
      </c>
    </row>
    <row r="57" spans="1:5" x14ac:dyDescent="0.3">
      <c r="A57" s="130" t="s">
        <v>437</v>
      </c>
      <c r="B57" s="130" t="s">
        <v>79</v>
      </c>
      <c r="C57" s="130" t="s">
        <v>83</v>
      </c>
      <c r="D57" s="130">
        <f t="shared" si="0"/>
        <v>95000</v>
      </c>
      <c r="E57" s="130" t="s">
        <v>472</v>
      </c>
    </row>
    <row r="58" spans="1:5" x14ac:dyDescent="0.3">
      <c r="A58" s="130" t="s">
        <v>438</v>
      </c>
      <c r="B58" s="130" t="s">
        <v>82</v>
      </c>
      <c r="C58" s="130" t="s">
        <v>80</v>
      </c>
      <c r="D58" s="130">
        <f t="shared" si="0"/>
        <v>400000</v>
      </c>
      <c r="E58" s="130" t="s">
        <v>471</v>
      </c>
    </row>
    <row r="59" spans="1:5" x14ac:dyDescent="0.3">
      <c r="A59" s="130" t="s">
        <v>439</v>
      </c>
      <c r="B59" s="130" t="s">
        <v>82</v>
      </c>
      <c r="C59" s="130" t="s">
        <v>83</v>
      </c>
      <c r="D59" s="130">
        <f t="shared" si="0"/>
        <v>95000</v>
      </c>
      <c r="E59" s="130" t="s">
        <v>472</v>
      </c>
    </row>
    <row r="60" spans="1:5" x14ac:dyDescent="0.3">
      <c r="A60" s="130" t="s">
        <v>440</v>
      </c>
      <c r="B60" s="130" t="s">
        <v>79</v>
      </c>
      <c r="C60" s="130" t="s">
        <v>80</v>
      </c>
      <c r="D60" s="130">
        <f t="shared" si="0"/>
        <v>400000</v>
      </c>
      <c r="E60" s="130" t="s">
        <v>470</v>
      </c>
    </row>
    <row r="61" spans="1:5" x14ac:dyDescent="0.3">
      <c r="A61" s="130" t="s">
        <v>441</v>
      </c>
      <c r="B61" s="130" t="s">
        <v>79</v>
      </c>
      <c r="C61" s="130" t="s">
        <v>80</v>
      </c>
      <c r="D61" s="130">
        <f t="shared" si="0"/>
        <v>400000</v>
      </c>
      <c r="E61" s="130" t="s">
        <v>471</v>
      </c>
    </row>
    <row r="62" spans="1:5" x14ac:dyDescent="0.3">
      <c r="A62" s="130" t="s">
        <v>442</v>
      </c>
      <c r="B62" s="130" t="s">
        <v>79</v>
      </c>
      <c r="C62" s="130" t="s">
        <v>80</v>
      </c>
      <c r="D62" s="130">
        <f t="shared" si="0"/>
        <v>400000</v>
      </c>
      <c r="E62" s="130" t="s">
        <v>471</v>
      </c>
    </row>
    <row r="63" spans="1:5" x14ac:dyDescent="0.3">
      <c r="A63" s="130" t="s">
        <v>443</v>
      </c>
      <c r="B63" s="130" t="s">
        <v>79</v>
      </c>
      <c r="C63" s="130" t="s">
        <v>80</v>
      </c>
      <c r="D63" s="130">
        <f t="shared" si="0"/>
        <v>400000</v>
      </c>
      <c r="E63" s="130" t="s">
        <v>471</v>
      </c>
    </row>
    <row r="64" spans="1:5" x14ac:dyDescent="0.3">
      <c r="A64" s="130" t="s">
        <v>444</v>
      </c>
      <c r="B64" s="130" t="s">
        <v>79</v>
      </c>
      <c r="C64" s="130" t="s">
        <v>80</v>
      </c>
      <c r="D64" s="130">
        <f t="shared" si="0"/>
        <v>400000</v>
      </c>
      <c r="E64" s="130" t="s">
        <v>470</v>
      </c>
    </row>
    <row r="65" spans="1:5" x14ac:dyDescent="0.3">
      <c r="A65" s="130" t="s">
        <v>445</v>
      </c>
      <c r="B65" s="130" t="s">
        <v>82</v>
      </c>
      <c r="C65" s="130" t="s">
        <v>80</v>
      </c>
      <c r="D65" s="130">
        <f t="shared" si="0"/>
        <v>400000</v>
      </c>
      <c r="E65" s="130" t="s">
        <v>470</v>
      </c>
    </row>
    <row r="66" spans="1:5" x14ac:dyDescent="0.3">
      <c r="A66" s="130" t="s">
        <v>446</v>
      </c>
      <c r="B66" s="130" t="s">
        <v>82</v>
      </c>
      <c r="C66" s="130" t="s">
        <v>80</v>
      </c>
      <c r="D66" s="130">
        <f t="shared" si="0"/>
        <v>400000</v>
      </c>
      <c r="E66" s="130" t="s">
        <v>471</v>
      </c>
    </row>
    <row r="67" spans="1:5" x14ac:dyDescent="0.3">
      <c r="A67" s="130" t="s">
        <v>447</v>
      </c>
      <c r="B67" s="130" t="s">
        <v>79</v>
      </c>
      <c r="C67" s="130" t="s">
        <v>80</v>
      </c>
      <c r="D67" s="130">
        <f t="shared" si="0"/>
        <v>400000</v>
      </c>
      <c r="E67" s="130" t="s">
        <v>471</v>
      </c>
    </row>
    <row r="68" spans="1:5" x14ac:dyDescent="0.3">
      <c r="A68" s="130" t="s">
        <v>448</v>
      </c>
      <c r="B68" s="130" t="s">
        <v>82</v>
      </c>
      <c r="C68" s="130" t="s">
        <v>80</v>
      </c>
      <c r="D68" s="130">
        <f t="shared" ref="D68:D88" si="3">IF(C68="Менеджер",400000,IF(C68="Эксперт",95000,IF(C68="Юрист",65000,75000)))</f>
        <v>400000</v>
      </c>
      <c r="E68" s="130" t="s">
        <v>471</v>
      </c>
    </row>
    <row r="69" spans="1:5" x14ac:dyDescent="0.3">
      <c r="A69" s="130" t="s">
        <v>449</v>
      </c>
      <c r="B69" s="130" t="s">
        <v>79</v>
      </c>
      <c r="C69" s="130" t="s">
        <v>80</v>
      </c>
      <c r="D69" s="130">
        <f t="shared" si="3"/>
        <v>400000</v>
      </c>
      <c r="E69" s="130" t="s">
        <v>471</v>
      </c>
    </row>
    <row r="70" spans="1:5" x14ac:dyDescent="0.3">
      <c r="A70" s="130" t="s">
        <v>450</v>
      </c>
      <c r="B70" s="130" t="s">
        <v>82</v>
      </c>
      <c r="C70" s="130" t="s">
        <v>80</v>
      </c>
      <c r="D70" s="130">
        <f t="shared" si="3"/>
        <v>400000</v>
      </c>
      <c r="E70" s="130" t="s">
        <v>470</v>
      </c>
    </row>
    <row r="71" spans="1:5" x14ac:dyDescent="0.3">
      <c r="A71" s="130" t="s">
        <v>451</v>
      </c>
      <c r="B71" s="130" t="s">
        <v>79</v>
      </c>
      <c r="C71" s="130" t="s">
        <v>80</v>
      </c>
      <c r="D71" s="130">
        <f t="shared" si="3"/>
        <v>400000</v>
      </c>
      <c r="E71" s="130" t="s">
        <v>471</v>
      </c>
    </row>
    <row r="72" spans="1:5" x14ac:dyDescent="0.3">
      <c r="A72" s="130" t="s">
        <v>452</v>
      </c>
      <c r="B72" s="130" t="s">
        <v>79</v>
      </c>
      <c r="C72" s="130" t="s">
        <v>80</v>
      </c>
      <c r="D72" s="130">
        <f t="shared" si="3"/>
        <v>400000</v>
      </c>
      <c r="E72" s="130" t="s">
        <v>471</v>
      </c>
    </row>
    <row r="73" spans="1:5" x14ac:dyDescent="0.3">
      <c r="A73" s="130" t="s">
        <v>453</v>
      </c>
      <c r="B73" s="130" t="s">
        <v>82</v>
      </c>
      <c r="C73" s="130" t="s">
        <v>80</v>
      </c>
      <c r="D73" s="130">
        <f t="shared" si="3"/>
        <v>400000</v>
      </c>
      <c r="E73" s="130" t="s">
        <v>471</v>
      </c>
    </row>
    <row r="74" spans="1:5" x14ac:dyDescent="0.3">
      <c r="A74" s="130" t="s">
        <v>454</v>
      </c>
      <c r="B74" s="130" t="s">
        <v>79</v>
      </c>
      <c r="C74" s="130" t="s">
        <v>80</v>
      </c>
      <c r="D74" s="130">
        <f t="shared" si="3"/>
        <v>400000</v>
      </c>
      <c r="E74" s="130" t="s">
        <v>471</v>
      </c>
    </row>
    <row r="75" spans="1:5" x14ac:dyDescent="0.3">
      <c r="A75" s="130" t="s">
        <v>455</v>
      </c>
      <c r="B75" s="130" t="s">
        <v>79</v>
      </c>
      <c r="C75" s="130" t="s">
        <v>83</v>
      </c>
      <c r="D75" s="130">
        <f t="shared" si="3"/>
        <v>95000</v>
      </c>
      <c r="E75" s="130" t="s">
        <v>472</v>
      </c>
    </row>
    <row r="76" spans="1:5" x14ac:dyDescent="0.3">
      <c r="A76" s="130" t="s">
        <v>456</v>
      </c>
      <c r="B76" s="130" t="s">
        <v>79</v>
      </c>
      <c r="C76" s="130" t="s">
        <v>80</v>
      </c>
      <c r="D76" s="130">
        <f t="shared" si="3"/>
        <v>400000</v>
      </c>
      <c r="E76" s="130" t="s">
        <v>471</v>
      </c>
    </row>
    <row r="77" spans="1:5" x14ac:dyDescent="0.3">
      <c r="A77" s="130" t="s">
        <v>457</v>
      </c>
      <c r="B77" s="130" t="s">
        <v>79</v>
      </c>
      <c r="C77" s="130" t="s">
        <v>80</v>
      </c>
      <c r="D77" s="130">
        <f t="shared" si="3"/>
        <v>400000</v>
      </c>
      <c r="E77" s="130" t="s">
        <v>471</v>
      </c>
    </row>
    <row r="78" spans="1:5" x14ac:dyDescent="0.3">
      <c r="A78" s="130" t="s">
        <v>458</v>
      </c>
      <c r="B78" s="130" t="s">
        <v>82</v>
      </c>
      <c r="C78" s="130" t="s">
        <v>80</v>
      </c>
      <c r="D78" s="130">
        <f t="shared" si="3"/>
        <v>400000</v>
      </c>
      <c r="E78" s="130" t="s">
        <v>471</v>
      </c>
    </row>
    <row r="79" spans="1:5" x14ac:dyDescent="0.3">
      <c r="A79" s="130" t="s">
        <v>459</v>
      </c>
      <c r="B79" s="130" t="s">
        <v>79</v>
      </c>
      <c r="C79" s="130" t="s">
        <v>80</v>
      </c>
      <c r="D79" s="130">
        <f t="shared" si="3"/>
        <v>400000</v>
      </c>
      <c r="E79" s="130" t="s">
        <v>471</v>
      </c>
    </row>
    <row r="80" spans="1:5" x14ac:dyDescent="0.3">
      <c r="A80" s="130" t="s">
        <v>460</v>
      </c>
      <c r="B80" s="130" t="s">
        <v>82</v>
      </c>
      <c r="C80" s="130" t="s">
        <v>80</v>
      </c>
      <c r="D80" s="130">
        <f t="shared" si="3"/>
        <v>400000</v>
      </c>
      <c r="E80" s="130" t="s">
        <v>471</v>
      </c>
    </row>
    <row r="81" spans="1:5" x14ac:dyDescent="0.3">
      <c r="A81" s="130" t="s">
        <v>461</v>
      </c>
      <c r="B81" s="130" t="s">
        <v>82</v>
      </c>
      <c r="C81" s="130" t="s">
        <v>80</v>
      </c>
      <c r="D81" s="130">
        <f t="shared" si="3"/>
        <v>400000</v>
      </c>
      <c r="E81" s="130" t="s">
        <v>470</v>
      </c>
    </row>
    <row r="82" spans="1:5" x14ac:dyDescent="0.3">
      <c r="A82" s="130" t="s">
        <v>462</v>
      </c>
      <c r="B82" s="130" t="s">
        <v>79</v>
      </c>
      <c r="C82" s="130" t="s">
        <v>84</v>
      </c>
      <c r="D82" s="130">
        <f t="shared" si="3"/>
        <v>65000</v>
      </c>
      <c r="E82" s="130" t="s">
        <v>474</v>
      </c>
    </row>
    <row r="83" spans="1:5" x14ac:dyDescent="0.3">
      <c r="A83" s="130" t="s">
        <v>463</v>
      </c>
      <c r="B83" s="130" t="s">
        <v>82</v>
      </c>
      <c r="C83" s="130" t="s">
        <v>80</v>
      </c>
      <c r="D83" s="130">
        <f t="shared" si="3"/>
        <v>400000</v>
      </c>
      <c r="E83" s="130" t="s">
        <v>470</v>
      </c>
    </row>
    <row r="84" spans="1:5" x14ac:dyDescent="0.3">
      <c r="A84" s="130" t="s">
        <v>464</v>
      </c>
      <c r="B84" s="130" t="s">
        <v>79</v>
      </c>
      <c r="C84" s="130" t="s">
        <v>80</v>
      </c>
      <c r="D84" s="130">
        <f t="shared" si="3"/>
        <v>400000</v>
      </c>
      <c r="E84" s="130" t="s">
        <v>470</v>
      </c>
    </row>
    <row r="85" spans="1:5" x14ac:dyDescent="0.3">
      <c r="A85" s="130" t="s">
        <v>465</v>
      </c>
      <c r="B85" s="130" t="s">
        <v>79</v>
      </c>
      <c r="C85" s="130" t="s">
        <v>80</v>
      </c>
      <c r="D85" s="130">
        <f t="shared" si="3"/>
        <v>400000</v>
      </c>
      <c r="E85" s="130" t="s">
        <v>471</v>
      </c>
    </row>
    <row r="86" spans="1:5" x14ac:dyDescent="0.3">
      <c r="A86" s="130" t="s">
        <v>466</v>
      </c>
      <c r="B86" s="130" t="s">
        <v>79</v>
      </c>
      <c r="C86" s="130" t="s">
        <v>80</v>
      </c>
      <c r="D86" s="130">
        <f t="shared" si="3"/>
        <v>400000</v>
      </c>
      <c r="E86" s="130" t="s">
        <v>471</v>
      </c>
    </row>
    <row r="87" spans="1:5" x14ac:dyDescent="0.3">
      <c r="A87" s="130" t="s">
        <v>467</v>
      </c>
      <c r="B87" s="130" t="s">
        <v>79</v>
      </c>
      <c r="C87" s="130" t="s">
        <v>80</v>
      </c>
      <c r="D87" s="130">
        <f t="shared" si="3"/>
        <v>400000</v>
      </c>
      <c r="E87" s="130" t="s">
        <v>471</v>
      </c>
    </row>
    <row r="88" spans="1:5" x14ac:dyDescent="0.3">
      <c r="A88" s="130" t="s">
        <v>468</v>
      </c>
      <c r="B88" s="130" t="s">
        <v>79</v>
      </c>
      <c r="C88" s="130" t="s">
        <v>84</v>
      </c>
      <c r="D88" s="130">
        <f t="shared" si="3"/>
        <v>65000</v>
      </c>
      <c r="E88" s="130" t="s">
        <v>471</v>
      </c>
    </row>
  </sheetData>
  <mergeCells count="2">
    <mergeCell ref="G2:H2"/>
    <mergeCell ref="G9:H9"/>
  </mergeCells>
  <dataValidations count="1">
    <dataValidation type="list" allowBlank="1" showInputMessage="1" showErrorMessage="1" sqref="C3:C88">
      <formula1>"Юрист, Эксперт, Менеджер, Бухгалтерь, Аудитор"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0" sqref="E10"/>
    </sheetView>
  </sheetViews>
  <sheetFormatPr defaultRowHeight="12.5" x14ac:dyDescent="0.25"/>
  <cols>
    <col min="1" max="1" width="15.54296875" bestFit="1" customWidth="1"/>
    <col min="2" max="2" width="17.54296875" bestFit="1" customWidth="1"/>
    <col min="3" max="3" width="11" customWidth="1"/>
  </cols>
  <sheetData>
    <row r="1" spans="1:3" ht="15" thickBot="1" x14ac:dyDescent="0.4">
      <c r="A1" s="6" t="s">
        <v>86</v>
      </c>
      <c r="B1" s="1"/>
    </row>
    <row r="2" spans="1:3" ht="15.5" thickTop="1" thickBot="1" x14ac:dyDescent="0.4">
      <c r="A2" s="6" t="s">
        <v>87</v>
      </c>
      <c r="B2" s="1"/>
    </row>
    <row r="3" spans="1:3" ht="13" thickTop="1" x14ac:dyDescent="0.25"/>
    <row r="4" spans="1:3" ht="14.5" x14ac:dyDescent="0.35">
      <c r="A4" s="7" t="s">
        <v>88</v>
      </c>
      <c r="B4" s="7"/>
      <c r="C4" s="7"/>
    </row>
    <row r="5" spans="1:3" ht="15" thickBot="1" x14ac:dyDescent="0.3">
      <c r="A5" s="8" t="s">
        <v>89</v>
      </c>
      <c r="B5" s="8" t="s">
        <v>90</v>
      </c>
      <c r="C5" s="8" t="s">
        <v>91</v>
      </c>
    </row>
    <row r="6" spans="1:3" ht="13" thickTop="1" x14ac:dyDescent="0.25">
      <c r="A6" s="9">
        <v>41744</v>
      </c>
      <c r="B6" s="9">
        <v>41773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10" sqref="D10"/>
    </sheetView>
  </sheetViews>
  <sheetFormatPr defaultColWidth="9.08984375" defaultRowHeight="12" x14ac:dyDescent="0.3"/>
  <cols>
    <col min="1" max="1" width="35.08984375" style="95" bestFit="1" customWidth="1"/>
    <col min="2" max="2" width="21.90625" style="95" bestFit="1" customWidth="1"/>
    <col min="3" max="16384" width="9.08984375" style="95"/>
  </cols>
  <sheetData>
    <row r="1" spans="1:2" x14ac:dyDescent="0.3">
      <c r="A1" s="96" t="s">
        <v>375</v>
      </c>
      <c r="B1" s="97" t="s">
        <v>476</v>
      </c>
    </row>
    <row r="2" spans="1:2" ht="12.5" thickBot="1" x14ac:dyDescent="0.35">
      <c r="A2" s="134" t="s">
        <v>248</v>
      </c>
      <c r="B2" s="134" t="s">
        <v>248</v>
      </c>
    </row>
    <row r="3" spans="1:2" x14ac:dyDescent="0.3">
      <c r="A3" s="95" t="s">
        <v>249</v>
      </c>
      <c r="B3" s="95" t="str">
        <f>TRIM(A3)</f>
        <v>Колесник Мария Степановна</v>
      </c>
    </row>
    <row r="4" spans="1:2" x14ac:dyDescent="0.3">
      <c r="A4" s="95" t="s">
        <v>250</v>
      </c>
      <c r="B4" s="95" t="str">
        <f t="shared" ref="B4:B10" si="0">TRIM(A4)</f>
        <v>Шарандак Галина Константиновна</v>
      </c>
    </row>
    <row r="5" spans="1:2" x14ac:dyDescent="0.3">
      <c r="A5" s="95" t="s">
        <v>251</v>
      </c>
      <c r="B5" s="95" t="str">
        <f t="shared" si="0"/>
        <v>Дидковская Елена Владимировна</v>
      </c>
    </row>
    <row r="6" spans="1:2" x14ac:dyDescent="0.3">
      <c r="A6" s="95" t="s">
        <v>264</v>
      </c>
      <c r="B6" s="95" t="str">
        <f t="shared" si="0"/>
        <v>Самохина Надежда Романовна</v>
      </c>
    </row>
    <row r="7" spans="1:2" x14ac:dyDescent="0.3">
      <c r="A7" s="95" t="s">
        <v>252</v>
      </c>
      <c r="B7" s="95" t="str">
        <f t="shared" si="0"/>
        <v>Давидчук Ольга Петровна</v>
      </c>
    </row>
    <row r="8" spans="1:2" x14ac:dyDescent="0.3">
      <c r="A8" s="95" t="s">
        <v>253</v>
      </c>
      <c r="B8" s="95" t="str">
        <f t="shared" si="0"/>
        <v>Черненькая Ольга Николаевна</v>
      </c>
    </row>
    <row r="9" spans="1:2" x14ac:dyDescent="0.3">
      <c r="A9" s="95" t="s">
        <v>254</v>
      </c>
      <c r="B9" s="95" t="str">
        <f t="shared" si="0"/>
        <v>Кацовец Татьяна Михайловна</v>
      </c>
    </row>
    <row r="10" spans="1:2" x14ac:dyDescent="0.3">
      <c r="A10" s="95" t="s">
        <v>255</v>
      </c>
      <c r="B10" s="95" t="str">
        <f t="shared" si="0"/>
        <v>Искоростенская Зоя Николаевна</v>
      </c>
    </row>
    <row r="11" spans="1:2" x14ac:dyDescent="0.3">
      <c r="B11" s="1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B1" workbookViewId="0">
      <selection activeCell="B3" sqref="B3"/>
    </sheetView>
  </sheetViews>
  <sheetFormatPr defaultColWidth="9.08984375" defaultRowHeight="12" x14ac:dyDescent="0.3"/>
  <cols>
    <col min="1" max="1" width="8.54296875" style="136" customWidth="1"/>
    <col min="2" max="2" width="34.453125" style="136" customWidth="1"/>
    <col min="3" max="3" width="11.453125" style="136" customWidth="1"/>
    <col min="4" max="4" width="8.54296875" style="136" customWidth="1"/>
    <col min="5" max="7" width="21.453125" style="136" customWidth="1"/>
    <col min="8" max="16384" width="9.08984375" style="136"/>
  </cols>
  <sheetData>
    <row r="1" spans="1:7" x14ac:dyDescent="0.3">
      <c r="A1" s="96"/>
      <c r="D1" s="97" t="s">
        <v>486</v>
      </c>
    </row>
    <row r="2" spans="1:7" x14ac:dyDescent="0.3">
      <c r="A2" s="137" t="s">
        <v>256</v>
      </c>
      <c r="B2" s="138" t="s">
        <v>74</v>
      </c>
      <c r="D2" s="137" t="s">
        <v>256</v>
      </c>
      <c r="E2" s="139" t="s">
        <v>477</v>
      </c>
      <c r="F2" s="139" t="s">
        <v>478</v>
      </c>
      <c r="G2" s="139" t="s">
        <v>479</v>
      </c>
    </row>
    <row r="3" spans="1:7" x14ac:dyDescent="0.3">
      <c r="A3" s="140">
        <v>1</v>
      </c>
      <c r="B3" s="141" t="s">
        <v>257</v>
      </c>
      <c r="D3" s="140">
        <v>1</v>
      </c>
      <c r="E3" s="142" t="e">
        <f ca="1">ТЕКСТРАЗД(B3, " ")</f>
        <v>#NAME?</v>
      </c>
      <c r="F3" s="142"/>
      <c r="G3" s="142"/>
    </row>
    <row r="4" spans="1:7" x14ac:dyDescent="0.3">
      <c r="A4" s="140">
        <v>2</v>
      </c>
      <c r="B4" s="141" t="s">
        <v>258</v>
      </c>
      <c r="D4" s="140">
        <v>2</v>
      </c>
      <c r="E4" s="142"/>
      <c r="F4" s="142"/>
      <c r="G4" s="142"/>
    </row>
    <row r="5" spans="1:7" x14ac:dyDescent="0.3">
      <c r="A5" s="140">
        <v>3</v>
      </c>
      <c r="B5" s="141" t="s">
        <v>259</v>
      </c>
      <c r="D5" s="140">
        <v>3</v>
      </c>
      <c r="E5" s="142"/>
      <c r="F5" s="142"/>
      <c r="G5" s="142"/>
    </row>
    <row r="6" spans="1:7" x14ac:dyDescent="0.3">
      <c r="A6" s="140">
        <v>4</v>
      </c>
      <c r="B6" s="141" t="s">
        <v>265</v>
      </c>
      <c r="D6" s="140">
        <v>4</v>
      </c>
      <c r="E6" s="142"/>
      <c r="F6" s="142"/>
      <c r="G6" s="142"/>
    </row>
    <row r="7" spans="1:7" x14ac:dyDescent="0.3">
      <c r="A7" s="140">
        <v>5</v>
      </c>
      <c r="B7" s="141" t="s">
        <v>260</v>
      </c>
      <c r="D7" s="140">
        <v>5</v>
      </c>
      <c r="E7" s="142"/>
      <c r="F7" s="142"/>
      <c r="G7" s="142"/>
    </row>
    <row r="8" spans="1:7" x14ac:dyDescent="0.3">
      <c r="A8" s="140">
        <v>6</v>
      </c>
      <c r="B8" s="141" t="s">
        <v>261</v>
      </c>
      <c r="D8" s="140">
        <v>6</v>
      </c>
      <c r="E8" s="142"/>
      <c r="F8" s="142"/>
      <c r="G8" s="142"/>
    </row>
    <row r="9" spans="1:7" x14ac:dyDescent="0.3">
      <c r="A9" s="140">
        <v>7</v>
      </c>
      <c r="B9" s="141" t="s">
        <v>262</v>
      </c>
      <c r="D9" s="140">
        <v>7</v>
      </c>
      <c r="E9" s="142"/>
      <c r="F9" s="142"/>
      <c r="G9" s="142"/>
    </row>
    <row r="10" spans="1:7" x14ac:dyDescent="0.3">
      <c r="A10" s="140">
        <v>8</v>
      </c>
      <c r="B10" s="141" t="s">
        <v>263</v>
      </c>
      <c r="D10" s="140">
        <v>8</v>
      </c>
      <c r="E10" s="142"/>
      <c r="F10" s="142"/>
      <c r="G10" s="142"/>
    </row>
    <row r="11" spans="1:7" s="95" customFormat="1" x14ac:dyDescent="0.3"/>
    <row r="12" spans="1:7" s="95" customFormat="1" x14ac:dyDescent="0.3"/>
    <row r="13" spans="1:7" s="95" customFormat="1" x14ac:dyDescent="0.3">
      <c r="D13" s="97" t="s">
        <v>487</v>
      </c>
    </row>
    <row r="14" spans="1:7" s="95" customFormat="1" x14ac:dyDescent="0.3">
      <c r="D14" s="137" t="s">
        <v>256</v>
      </c>
      <c r="E14" s="139" t="s">
        <v>477</v>
      </c>
      <c r="F14" s="139" t="s">
        <v>478</v>
      </c>
      <c r="G14" s="139" t="s">
        <v>479</v>
      </c>
    </row>
    <row r="15" spans="1:7" s="95" customFormat="1" x14ac:dyDescent="0.3">
      <c r="D15" s="140">
        <v>1</v>
      </c>
      <c r="E15" s="142" t="str">
        <f>LEFT(B3, FIND(" ", B3)-1)</f>
        <v>Колесник</v>
      </c>
      <c r="F15" s="142" t="str">
        <f>MID(B3, FIND(" ", B3)+1, FIND(" ", B3, FIND(" ", B3)+1) - FIND(" ", B3)-1)</f>
        <v>Мария</v>
      </c>
      <c r="G15" s="142" t="str">
        <f>RIGHT(B3, LEN(B3) - FIND(" ", B3, FIND(" ", B3)+1))</f>
        <v>Степановна</v>
      </c>
    </row>
    <row r="16" spans="1:7" s="95" customFormat="1" x14ac:dyDescent="0.3">
      <c r="D16" s="140">
        <v>2</v>
      </c>
      <c r="E16" s="142" t="str">
        <f t="shared" ref="E16:E22" si="0">LEFT(B4, FIND(" ", B4)-1)</f>
        <v>Шарандак</v>
      </c>
      <c r="F16" s="142" t="str">
        <f t="shared" ref="F16:F22" si="1">MID(B4, FIND(" ", B4)+1, FIND(" ", B4, FIND(" ", B4)+1) - FIND(" ", B4)-1)</f>
        <v>Галина</v>
      </c>
      <c r="G16" s="142" t="str">
        <f t="shared" ref="G16:G22" si="2">RIGHT(B4, LEN(B4) - FIND(" ", B4, FIND(" ", B4)+1))</f>
        <v>Константиновна</v>
      </c>
    </row>
    <row r="17" spans="4:7" s="95" customFormat="1" x14ac:dyDescent="0.3">
      <c r="D17" s="140">
        <v>3</v>
      </c>
      <c r="E17" s="142" t="str">
        <f t="shared" si="0"/>
        <v>Дидковская</v>
      </c>
      <c r="F17" s="142" t="str">
        <f t="shared" si="1"/>
        <v>Елена</v>
      </c>
      <c r="G17" s="142" t="str">
        <f t="shared" si="2"/>
        <v>Владимировна</v>
      </c>
    </row>
    <row r="18" spans="4:7" s="95" customFormat="1" x14ac:dyDescent="0.3">
      <c r="D18" s="140">
        <v>4</v>
      </c>
      <c r="E18" s="142" t="str">
        <f t="shared" si="0"/>
        <v>Самохина</v>
      </c>
      <c r="F18" s="142" t="str">
        <f t="shared" si="1"/>
        <v>Надежда</v>
      </c>
      <c r="G18" s="142" t="str">
        <f t="shared" si="2"/>
        <v>Романовна</v>
      </c>
    </row>
    <row r="19" spans="4:7" s="95" customFormat="1" x14ac:dyDescent="0.3">
      <c r="D19" s="140">
        <v>5</v>
      </c>
      <c r="E19" s="142" t="str">
        <f t="shared" si="0"/>
        <v>Давидчук</v>
      </c>
      <c r="F19" s="142" t="str">
        <f t="shared" si="1"/>
        <v>Ольга</v>
      </c>
      <c r="G19" s="142" t="str">
        <f t="shared" si="2"/>
        <v>Петровна</v>
      </c>
    </row>
    <row r="20" spans="4:7" s="95" customFormat="1" x14ac:dyDescent="0.3">
      <c r="D20" s="140">
        <v>6</v>
      </c>
      <c r="E20" s="142" t="str">
        <f t="shared" si="0"/>
        <v>Черненькая</v>
      </c>
      <c r="F20" s="142" t="str">
        <f t="shared" si="1"/>
        <v>Ольга</v>
      </c>
      <c r="G20" s="142" t="str">
        <f t="shared" si="2"/>
        <v>Николаевна</v>
      </c>
    </row>
    <row r="21" spans="4:7" s="95" customFormat="1" x14ac:dyDescent="0.3">
      <c r="D21" s="140">
        <v>7</v>
      </c>
      <c r="E21" s="142" t="str">
        <f t="shared" si="0"/>
        <v>Кацовец</v>
      </c>
      <c r="F21" s="142" t="str">
        <f t="shared" si="1"/>
        <v>Татьяна</v>
      </c>
      <c r="G21" s="142" t="str">
        <f t="shared" si="2"/>
        <v>Михайловна</v>
      </c>
    </row>
    <row r="22" spans="4:7" s="95" customFormat="1" x14ac:dyDescent="0.3">
      <c r="D22" s="140">
        <v>8</v>
      </c>
      <c r="E22" s="142" t="str">
        <f t="shared" si="0"/>
        <v>Искоростенская</v>
      </c>
      <c r="F22" s="142" t="str">
        <f t="shared" si="1"/>
        <v>Зоя</v>
      </c>
      <c r="G22" s="142" t="str">
        <f t="shared" si="2"/>
        <v>Николаевна</v>
      </c>
    </row>
    <row r="23" spans="4:7" s="95" customFormat="1" x14ac:dyDescent="0.3"/>
    <row r="24" spans="4:7" s="95" customFormat="1" x14ac:dyDescent="0.3"/>
    <row r="25" spans="4:7" s="9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selection activeCell="D4" sqref="D4"/>
    </sheetView>
  </sheetViews>
  <sheetFormatPr defaultColWidth="9.08984375" defaultRowHeight="12" x14ac:dyDescent="0.3"/>
  <cols>
    <col min="1" max="1" width="20.6328125" style="145" customWidth="1"/>
    <col min="2" max="3" width="21.08984375" style="144" customWidth="1"/>
    <col min="4" max="4" width="25.08984375" style="145" customWidth="1"/>
    <col min="5" max="16384" width="9.08984375" style="145"/>
  </cols>
  <sheetData>
    <row r="1" spans="1:5" x14ac:dyDescent="0.3">
      <c r="A1" s="96" t="s">
        <v>375</v>
      </c>
      <c r="B1" s="143" t="s">
        <v>480</v>
      </c>
    </row>
    <row r="2" spans="1:5" x14ac:dyDescent="0.3">
      <c r="B2" s="96" t="s">
        <v>481</v>
      </c>
    </row>
    <row r="3" spans="1:5" x14ac:dyDescent="0.3">
      <c r="A3" s="146" t="s">
        <v>144</v>
      </c>
      <c r="B3" s="147" t="s">
        <v>145</v>
      </c>
      <c r="C3" s="147" t="s">
        <v>162</v>
      </c>
      <c r="D3" s="146" t="s">
        <v>146</v>
      </c>
    </row>
    <row r="4" spans="1:5" x14ac:dyDescent="0.3">
      <c r="A4" s="148" t="s">
        <v>147</v>
      </c>
      <c r="B4" s="149">
        <v>1.01</v>
      </c>
      <c r="C4" s="150">
        <f>B4/SUM($B$4:$B$17)</f>
        <v>5.2769070010449316E-2</v>
      </c>
      <c r="D4" s="148" t="str">
        <f>IF(C4 &gt;= 8%, "да", "нет")</f>
        <v>нет</v>
      </c>
      <c r="E4" s="151"/>
    </row>
    <row r="5" spans="1:5" x14ac:dyDescent="0.3">
      <c r="A5" s="148" t="s">
        <v>148</v>
      </c>
      <c r="B5" s="149">
        <v>1.2</v>
      </c>
      <c r="C5" s="150">
        <f t="shared" ref="C5:C17" si="0">B5/SUM($B$4:$B$17)</f>
        <v>6.2695924764890276E-2</v>
      </c>
      <c r="D5" s="148" t="str">
        <f t="shared" ref="D5:D17" si="1">IF(C5 &gt;= 8%, "да", "нет")</f>
        <v>нет</v>
      </c>
      <c r="E5" s="151"/>
    </row>
    <row r="6" spans="1:5" x14ac:dyDescent="0.3">
      <c r="A6" s="148" t="s">
        <v>149</v>
      </c>
      <c r="B6" s="149">
        <v>1.9</v>
      </c>
      <c r="C6" s="150">
        <f t="shared" si="0"/>
        <v>9.9268547544409599E-2</v>
      </c>
      <c r="D6" s="148" t="str">
        <f t="shared" si="1"/>
        <v>да</v>
      </c>
      <c r="E6" s="151"/>
    </row>
    <row r="7" spans="1:5" x14ac:dyDescent="0.3">
      <c r="A7" s="148" t="s">
        <v>150</v>
      </c>
      <c r="B7" s="149">
        <v>1.95</v>
      </c>
      <c r="C7" s="150">
        <f t="shared" si="0"/>
        <v>0.1018808777429467</v>
      </c>
      <c r="D7" s="148" t="str">
        <f t="shared" si="1"/>
        <v>да</v>
      </c>
      <c r="E7" s="151"/>
    </row>
    <row r="8" spans="1:5" x14ac:dyDescent="0.3">
      <c r="A8" s="148" t="s">
        <v>151</v>
      </c>
      <c r="B8" s="149">
        <v>1.76</v>
      </c>
      <c r="C8" s="150">
        <f t="shared" si="0"/>
        <v>9.1954022988505746E-2</v>
      </c>
      <c r="D8" s="148" t="str">
        <f t="shared" si="1"/>
        <v>да</v>
      </c>
      <c r="E8" s="151"/>
    </row>
    <row r="9" spans="1:5" x14ac:dyDescent="0.3">
      <c r="A9" s="148" t="s">
        <v>152</v>
      </c>
      <c r="B9" s="149">
        <v>0.95</v>
      </c>
      <c r="C9" s="150">
        <f t="shared" si="0"/>
        <v>4.96342737722048E-2</v>
      </c>
      <c r="D9" s="148" t="str">
        <f t="shared" si="1"/>
        <v>нет</v>
      </c>
      <c r="E9" s="151"/>
    </row>
    <row r="10" spans="1:5" x14ac:dyDescent="0.3">
      <c r="A10" s="148" t="s">
        <v>153</v>
      </c>
      <c r="B10" s="149">
        <v>0.4</v>
      </c>
      <c r="C10" s="150">
        <f t="shared" si="0"/>
        <v>2.0898641588296761E-2</v>
      </c>
      <c r="D10" s="148" t="str">
        <f t="shared" si="1"/>
        <v>нет</v>
      </c>
      <c r="E10" s="151"/>
    </row>
    <row r="11" spans="1:5" x14ac:dyDescent="0.3">
      <c r="A11" s="148" t="s">
        <v>154</v>
      </c>
      <c r="B11" s="149">
        <v>0.45</v>
      </c>
      <c r="C11" s="150">
        <f t="shared" si="0"/>
        <v>2.3510971786833857E-2</v>
      </c>
      <c r="D11" s="148" t="str">
        <f t="shared" si="1"/>
        <v>нет</v>
      </c>
      <c r="E11" s="151"/>
    </row>
    <row r="12" spans="1:5" x14ac:dyDescent="0.3">
      <c r="A12" s="148" t="s">
        <v>155</v>
      </c>
      <c r="B12" s="149">
        <v>2.1</v>
      </c>
      <c r="C12" s="150">
        <f t="shared" si="0"/>
        <v>0.109717868338558</v>
      </c>
      <c r="D12" s="148" t="str">
        <f t="shared" si="1"/>
        <v>да</v>
      </c>
      <c r="E12" s="151"/>
    </row>
    <row r="13" spans="1:5" x14ac:dyDescent="0.3">
      <c r="A13" s="148" t="s">
        <v>156</v>
      </c>
      <c r="B13" s="149">
        <v>2.0099999999999998</v>
      </c>
      <c r="C13" s="150">
        <f t="shared" si="0"/>
        <v>0.1050156739811912</v>
      </c>
      <c r="D13" s="148" t="str">
        <f t="shared" si="1"/>
        <v>да</v>
      </c>
      <c r="E13" s="151"/>
    </row>
    <row r="14" spans="1:5" x14ac:dyDescent="0.3">
      <c r="A14" s="148" t="s">
        <v>157</v>
      </c>
      <c r="B14" s="149">
        <v>2.7</v>
      </c>
      <c r="C14" s="150">
        <f t="shared" si="0"/>
        <v>0.14106583072100315</v>
      </c>
      <c r="D14" s="148" t="str">
        <f t="shared" si="1"/>
        <v>да</v>
      </c>
      <c r="E14" s="151"/>
    </row>
    <row r="15" spans="1:5" x14ac:dyDescent="0.3">
      <c r="A15" s="148" t="s">
        <v>158</v>
      </c>
      <c r="B15" s="149">
        <v>0.8</v>
      </c>
      <c r="C15" s="150">
        <f t="shared" si="0"/>
        <v>4.1797283176593522E-2</v>
      </c>
      <c r="D15" s="148" t="str">
        <f t="shared" si="1"/>
        <v>нет</v>
      </c>
      <c r="E15" s="151"/>
    </row>
    <row r="16" spans="1:5" x14ac:dyDescent="0.3">
      <c r="A16" s="148" t="s">
        <v>159</v>
      </c>
      <c r="B16" s="149">
        <v>0.92</v>
      </c>
      <c r="C16" s="150">
        <f t="shared" si="0"/>
        <v>4.8066875653082548E-2</v>
      </c>
      <c r="D16" s="148" t="str">
        <f t="shared" si="1"/>
        <v>нет</v>
      </c>
      <c r="E16" s="151"/>
    </row>
    <row r="17" spans="1:5" x14ac:dyDescent="0.3">
      <c r="A17" s="148" t="s">
        <v>160</v>
      </c>
      <c r="B17" s="149">
        <v>0.99</v>
      </c>
      <c r="C17" s="150">
        <f t="shared" si="0"/>
        <v>5.1724137931034482E-2</v>
      </c>
      <c r="D17" s="148" t="str">
        <f t="shared" si="1"/>
        <v>нет</v>
      </c>
      <c r="E17" s="1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opLeftCell="A2" workbookViewId="0">
      <selection activeCell="A2" sqref="A2:F10"/>
    </sheetView>
  </sheetViews>
  <sheetFormatPr defaultRowHeight="12.5" x14ac:dyDescent="0.25"/>
  <cols>
    <col min="1" max="1" width="15" bestFit="1" customWidth="1"/>
    <col min="2" max="2" width="20.90625" customWidth="1"/>
    <col min="3" max="3" width="23.6328125" customWidth="1"/>
    <col min="4" max="4" width="8.453125" customWidth="1"/>
    <col min="5" max="5" width="15.08984375" customWidth="1"/>
    <col min="6" max="8" width="11.54296875" customWidth="1"/>
    <col min="10" max="10" width="12.36328125" customWidth="1"/>
    <col min="13" max="13" width="12.6328125" customWidth="1"/>
  </cols>
  <sheetData>
    <row r="1" spans="1:10" ht="23.5" x14ac:dyDescent="0.55000000000000004">
      <c r="A1" s="182" t="s">
        <v>194</v>
      </c>
      <c r="B1" s="182"/>
      <c r="C1" s="182"/>
      <c r="D1" s="182"/>
      <c r="E1" s="182"/>
      <c r="F1" s="182"/>
      <c r="I1" s="57"/>
    </row>
    <row r="2" spans="1:10" ht="29" x14ac:dyDescent="0.25">
      <c r="A2" s="58" t="s">
        <v>195</v>
      </c>
      <c r="B2" s="59" t="s">
        <v>196</v>
      </c>
      <c r="C2" s="60" t="s">
        <v>197</v>
      </c>
      <c r="D2" s="59" t="s">
        <v>198</v>
      </c>
      <c r="E2" s="60" t="s">
        <v>199</v>
      </c>
      <c r="F2" s="59" t="s">
        <v>200</v>
      </c>
      <c r="H2" s="59" t="s">
        <v>198</v>
      </c>
      <c r="I2" s="60" t="s">
        <v>199</v>
      </c>
      <c r="J2" s="59" t="s">
        <v>200</v>
      </c>
    </row>
    <row r="3" spans="1:10" ht="14.5" x14ac:dyDescent="0.35">
      <c r="A3" s="61" t="s">
        <v>201</v>
      </c>
      <c r="B3" s="62">
        <v>800</v>
      </c>
      <c r="C3" s="62">
        <v>10</v>
      </c>
      <c r="D3" s="62"/>
      <c r="E3" s="62"/>
      <c r="F3" s="62"/>
      <c r="H3" s="63" t="s">
        <v>202</v>
      </c>
      <c r="I3" s="63" t="s">
        <v>203</v>
      </c>
      <c r="J3" s="63">
        <v>120</v>
      </c>
    </row>
    <row r="4" spans="1:10" ht="14.5" x14ac:dyDescent="0.35">
      <c r="A4" s="64" t="s">
        <v>204</v>
      </c>
      <c r="B4" s="65">
        <v>600</v>
      </c>
      <c r="C4" s="65">
        <v>8</v>
      </c>
      <c r="D4" s="62"/>
      <c r="E4" s="62"/>
      <c r="F4" s="62"/>
      <c r="H4" s="63" t="s">
        <v>202</v>
      </c>
      <c r="I4" s="63" t="s">
        <v>202</v>
      </c>
      <c r="J4" s="63">
        <v>90</v>
      </c>
    </row>
    <row r="5" spans="1:10" ht="14.5" x14ac:dyDescent="0.35">
      <c r="A5" s="61" t="s">
        <v>205</v>
      </c>
      <c r="B5" s="62">
        <v>1200</v>
      </c>
      <c r="C5" s="62">
        <v>15</v>
      </c>
      <c r="D5" s="62"/>
      <c r="E5" s="62"/>
      <c r="F5" s="62"/>
      <c r="H5" s="63" t="s">
        <v>206</v>
      </c>
      <c r="I5" s="63" t="s">
        <v>203</v>
      </c>
      <c r="J5" s="63">
        <v>216</v>
      </c>
    </row>
    <row r="6" spans="1:10" ht="14.5" x14ac:dyDescent="0.35">
      <c r="A6" s="64" t="s">
        <v>207</v>
      </c>
      <c r="B6" s="65">
        <v>1000</v>
      </c>
      <c r="C6" s="65">
        <v>6</v>
      </c>
      <c r="D6" s="62"/>
      <c r="E6" s="62"/>
      <c r="F6" s="62"/>
      <c r="H6" s="63" t="s">
        <v>202</v>
      </c>
      <c r="I6" s="63" t="s">
        <v>203</v>
      </c>
      <c r="J6" s="63">
        <v>180</v>
      </c>
    </row>
    <row r="7" spans="1:10" ht="14.5" x14ac:dyDescent="0.35">
      <c r="A7" s="61" t="s">
        <v>208</v>
      </c>
      <c r="B7" s="62">
        <v>1500</v>
      </c>
      <c r="C7" s="62">
        <v>7</v>
      </c>
      <c r="D7" s="62"/>
      <c r="E7" s="62"/>
      <c r="F7" s="62"/>
      <c r="H7" s="63" t="s">
        <v>202</v>
      </c>
      <c r="I7" s="63" t="s">
        <v>203</v>
      </c>
      <c r="J7" s="63">
        <v>315</v>
      </c>
    </row>
    <row r="8" spans="1:10" ht="14.5" x14ac:dyDescent="0.35">
      <c r="A8" s="64" t="s">
        <v>209</v>
      </c>
      <c r="B8" s="65">
        <v>700</v>
      </c>
      <c r="C8" s="65">
        <v>5</v>
      </c>
      <c r="D8" s="62"/>
      <c r="E8" s="62"/>
      <c r="F8" s="62"/>
      <c r="H8" s="63" t="s">
        <v>202</v>
      </c>
      <c r="I8" s="63" t="s">
        <v>202</v>
      </c>
      <c r="J8" s="63">
        <v>105</v>
      </c>
    </row>
    <row r="9" spans="1:10" ht="14.5" x14ac:dyDescent="0.35">
      <c r="A9" s="61" t="s">
        <v>210</v>
      </c>
      <c r="B9" s="62">
        <v>1100</v>
      </c>
      <c r="C9" s="62">
        <v>12</v>
      </c>
      <c r="D9" s="62"/>
      <c r="E9" s="62"/>
      <c r="F9" s="62"/>
      <c r="H9" s="63" t="s">
        <v>206</v>
      </c>
      <c r="I9" s="63" t="s">
        <v>203</v>
      </c>
      <c r="J9" s="63">
        <v>198</v>
      </c>
    </row>
    <row r="10" spans="1:10" ht="14.5" x14ac:dyDescent="0.35">
      <c r="A10" s="64" t="s">
        <v>211</v>
      </c>
      <c r="B10" s="65">
        <v>1300</v>
      </c>
      <c r="C10" s="65">
        <v>14</v>
      </c>
      <c r="D10" s="62"/>
      <c r="E10" s="62"/>
      <c r="F10" s="62"/>
      <c r="H10" s="63" t="s">
        <v>206</v>
      </c>
      <c r="I10" s="63" t="s">
        <v>203</v>
      </c>
      <c r="J10" s="63">
        <v>273</v>
      </c>
    </row>
    <row r="11" spans="1:10" x14ac:dyDescent="0.25">
      <c r="F11" s="66"/>
    </row>
  </sheetData>
  <mergeCells count="1">
    <mergeCell ref="A1:F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E4" sqref="E4"/>
    </sheetView>
  </sheetViews>
  <sheetFormatPr defaultColWidth="9.08984375" defaultRowHeight="12" x14ac:dyDescent="0.3"/>
  <cols>
    <col min="1" max="1" width="23.08984375" style="152" bestFit="1" customWidth="1"/>
    <col min="2" max="2" width="14.90625" style="152" customWidth="1"/>
    <col min="3" max="3" width="15" style="152" bestFit="1" customWidth="1"/>
    <col min="4" max="4" width="10.54296875" style="152" customWidth="1"/>
    <col min="5" max="5" width="10.08984375" style="152" customWidth="1"/>
    <col min="6" max="6" width="18.6328125" style="152" customWidth="1"/>
    <col min="7" max="7" width="3.36328125" style="152" customWidth="1"/>
    <col min="8" max="8" width="18.54296875" style="152" bestFit="1" customWidth="1"/>
    <col min="9" max="9" width="14.453125" style="152" bestFit="1" customWidth="1"/>
    <col min="10" max="10" width="3.6328125" style="152" customWidth="1"/>
    <col min="11" max="11" width="15.453125" style="152" customWidth="1"/>
    <col min="12" max="12" width="12.6328125" style="152" customWidth="1"/>
    <col min="13" max="16384" width="9.08984375" style="152"/>
  </cols>
  <sheetData>
    <row r="1" spans="1:12" x14ac:dyDescent="0.3">
      <c r="A1" s="96" t="s">
        <v>375</v>
      </c>
      <c r="B1" s="143" t="s">
        <v>482</v>
      </c>
    </row>
    <row r="2" spans="1:12" x14ac:dyDescent="0.3">
      <c r="B2" s="152" t="s">
        <v>494</v>
      </c>
    </row>
    <row r="3" spans="1:12" x14ac:dyDescent="0.3">
      <c r="A3" s="153" t="s">
        <v>163</v>
      </c>
      <c r="B3" s="154" t="s">
        <v>92</v>
      </c>
      <c r="C3" s="154" t="s">
        <v>93</v>
      </c>
      <c r="D3" s="154" t="s">
        <v>161</v>
      </c>
      <c r="E3" s="154" t="s">
        <v>164</v>
      </c>
      <c r="F3" s="154" t="s">
        <v>165</v>
      </c>
      <c r="G3" s="155"/>
      <c r="H3" s="156" t="s">
        <v>92</v>
      </c>
      <c r="I3" s="157" t="s">
        <v>166</v>
      </c>
      <c r="J3" s="155"/>
      <c r="K3" s="167" t="s">
        <v>493</v>
      </c>
      <c r="L3" s="168" t="s">
        <v>164</v>
      </c>
    </row>
    <row r="4" spans="1:12" x14ac:dyDescent="0.3">
      <c r="A4" s="158" t="s">
        <v>167</v>
      </c>
      <c r="B4" s="158" t="s">
        <v>168</v>
      </c>
      <c r="C4" s="158">
        <v>4</v>
      </c>
      <c r="D4" s="159">
        <f>C4 * SUMIF(H$4:H$7, B4, I$4:I$7)</f>
        <v>2000</v>
      </c>
      <c r="E4" s="160"/>
      <c r="F4" s="159"/>
      <c r="G4" s="95"/>
      <c r="H4" s="161" t="s">
        <v>168</v>
      </c>
      <c r="I4" s="161">
        <v>500</v>
      </c>
      <c r="K4" s="162">
        <v>0</v>
      </c>
      <c r="L4" s="163">
        <v>0.02</v>
      </c>
    </row>
    <row r="5" spans="1:12" x14ac:dyDescent="0.3">
      <c r="A5" s="158" t="s">
        <v>169</v>
      </c>
      <c r="B5" s="158" t="s">
        <v>168</v>
      </c>
      <c r="C5" s="158">
        <v>6</v>
      </c>
      <c r="D5" s="159">
        <f t="shared" ref="D5:D14" si="0">C5 * SUMIF(H$4:H$7, B5, I$4:I$7)</f>
        <v>3000</v>
      </c>
      <c r="E5" s="160"/>
      <c r="F5" s="159"/>
      <c r="H5" s="161" t="s">
        <v>170</v>
      </c>
      <c r="I5" s="161">
        <v>300</v>
      </c>
      <c r="K5" s="162">
        <v>5</v>
      </c>
      <c r="L5" s="163">
        <v>7.0000000000000007E-2</v>
      </c>
    </row>
    <row r="6" spans="1:12" x14ac:dyDescent="0.3">
      <c r="A6" s="158" t="s">
        <v>171</v>
      </c>
      <c r="B6" s="158" t="s">
        <v>172</v>
      </c>
      <c r="C6" s="158">
        <v>6</v>
      </c>
      <c r="D6" s="159">
        <f t="shared" si="0"/>
        <v>900</v>
      </c>
      <c r="E6" s="160"/>
      <c r="F6" s="159"/>
      <c r="H6" s="161" t="s">
        <v>173</v>
      </c>
      <c r="I6" s="161">
        <v>250</v>
      </c>
      <c r="K6" s="162">
        <v>10</v>
      </c>
      <c r="L6" s="163">
        <v>0.09</v>
      </c>
    </row>
    <row r="7" spans="1:12" x14ac:dyDescent="0.3">
      <c r="A7" s="158" t="s">
        <v>174</v>
      </c>
      <c r="B7" s="158" t="s">
        <v>170</v>
      </c>
      <c r="C7" s="158">
        <v>3</v>
      </c>
      <c r="D7" s="159">
        <f t="shared" si="0"/>
        <v>900</v>
      </c>
      <c r="E7" s="160"/>
      <c r="F7" s="159"/>
      <c r="H7" s="161" t="s">
        <v>172</v>
      </c>
      <c r="I7" s="161">
        <v>150</v>
      </c>
      <c r="K7" s="162">
        <v>20</v>
      </c>
      <c r="L7" s="163">
        <v>0.15</v>
      </c>
    </row>
    <row r="8" spans="1:12" x14ac:dyDescent="0.3">
      <c r="A8" s="158" t="s">
        <v>175</v>
      </c>
      <c r="B8" s="158" t="s">
        <v>172</v>
      </c>
      <c r="C8" s="158">
        <v>10</v>
      </c>
      <c r="D8" s="159">
        <f t="shared" si="0"/>
        <v>1500</v>
      </c>
      <c r="E8" s="160"/>
      <c r="F8" s="159"/>
      <c r="K8" s="162">
        <v>30</v>
      </c>
      <c r="L8" s="163">
        <v>0.16</v>
      </c>
    </row>
    <row r="9" spans="1:12" x14ac:dyDescent="0.3">
      <c r="A9" s="158" t="s">
        <v>176</v>
      </c>
      <c r="B9" s="158" t="s">
        <v>172</v>
      </c>
      <c r="C9" s="158">
        <v>2</v>
      </c>
      <c r="D9" s="159">
        <f t="shared" si="0"/>
        <v>300</v>
      </c>
      <c r="E9" s="160"/>
      <c r="F9" s="159"/>
      <c r="K9" s="162">
        <v>40</v>
      </c>
      <c r="L9" s="163">
        <v>0.17</v>
      </c>
    </row>
    <row r="10" spans="1:12" x14ac:dyDescent="0.3">
      <c r="A10" s="158" t="s">
        <v>177</v>
      </c>
      <c r="B10" s="158" t="s">
        <v>168</v>
      </c>
      <c r="C10" s="158">
        <v>6</v>
      </c>
      <c r="D10" s="159">
        <f t="shared" si="0"/>
        <v>3000</v>
      </c>
      <c r="E10" s="160"/>
      <c r="F10" s="159"/>
      <c r="K10" s="162">
        <v>50</v>
      </c>
      <c r="L10" s="163">
        <v>0.18</v>
      </c>
    </row>
    <row r="11" spans="1:12" x14ac:dyDescent="0.3">
      <c r="A11" s="158" t="s">
        <v>489</v>
      </c>
      <c r="B11" s="158" t="s">
        <v>170</v>
      </c>
      <c r="C11" s="158">
        <v>25</v>
      </c>
      <c r="D11" s="159">
        <f t="shared" si="0"/>
        <v>7500</v>
      </c>
      <c r="E11" s="160"/>
      <c r="F11" s="159"/>
      <c r="G11" s="95"/>
      <c r="K11" s="169">
        <v>60</v>
      </c>
      <c r="L11" s="170">
        <v>0.19</v>
      </c>
    </row>
    <row r="12" spans="1:12" x14ac:dyDescent="0.3">
      <c r="A12" s="158" t="s">
        <v>490</v>
      </c>
      <c r="B12" s="158" t="s">
        <v>172</v>
      </c>
      <c r="C12" s="158">
        <v>37</v>
      </c>
      <c r="D12" s="159">
        <f t="shared" si="0"/>
        <v>5550</v>
      </c>
      <c r="E12" s="160"/>
      <c r="F12" s="159"/>
    </row>
    <row r="13" spans="1:12" x14ac:dyDescent="0.3">
      <c r="A13" s="158" t="s">
        <v>491</v>
      </c>
      <c r="B13" s="158" t="s">
        <v>172</v>
      </c>
      <c r="C13" s="158">
        <v>42</v>
      </c>
      <c r="D13" s="159">
        <f t="shared" si="0"/>
        <v>6300</v>
      </c>
      <c r="E13" s="160"/>
      <c r="F13" s="159"/>
    </row>
    <row r="14" spans="1:12" x14ac:dyDescent="0.3">
      <c r="A14" s="158" t="s">
        <v>492</v>
      </c>
      <c r="B14" s="158" t="s">
        <v>168</v>
      </c>
      <c r="C14" s="158">
        <v>65</v>
      </c>
      <c r="D14" s="159">
        <f t="shared" si="0"/>
        <v>32500</v>
      </c>
      <c r="E14" s="160"/>
      <c r="F14" s="159"/>
    </row>
    <row r="15" spans="1:12" x14ac:dyDescent="0.3">
      <c r="A15" s="164" t="s">
        <v>19</v>
      </c>
      <c r="B15" s="165"/>
      <c r="C15" s="165"/>
      <c r="D15" s="165"/>
      <c r="E15" s="165"/>
      <c r="F15" s="165"/>
    </row>
  </sheetData>
  <pageMargins left="0.75" right="0.75" top="1" bottom="1" header="0.5" footer="0.5"/>
  <pageSetup paperSize="9" orientation="portrait" horizontalDpi="300" verticalDpi="300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K7" sqref="K7"/>
    </sheetView>
  </sheetViews>
  <sheetFormatPr defaultRowHeight="12.5" x14ac:dyDescent="0.25"/>
  <cols>
    <col min="1" max="1" width="7.90625" bestFit="1" customWidth="1"/>
    <col min="2" max="2" width="12.90625" customWidth="1"/>
    <col min="3" max="3" width="13.08984375" customWidth="1"/>
    <col min="4" max="7" width="9" customWidth="1"/>
    <col min="10" max="10" width="12.08984375" customWidth="1"/>
  </cols>
  <sheetData>
    <row r="1" spans="1:12" ht="13" x14ac:dyDescent="0.3">
      <c r="A1" s="96" t="s">
        <v>375</v>
      </c>
      <c r="B1" s="97" t="s">
        <v>483</v>
      </c>
    </row>
    <row r="2" spans="1:12" ht="29.5" thickBot="1" x14ac:dyDescent="0.3">
      <c r="A2" s="78" t="s">
        <v>212</v>
      </c>
      <c r="B2" s="79" t="s">
        <v>54</v>
      </c>
      <c r="C2" s="79" t="s">
        <v>346</v>
      </c>
      <c r="D2" s="80" t="s">
        <v>347</v>
      </c>
      <c r="E2" s="79" t="s">
        <v>81</v>
      </c>
      <c r="F2" s="79" t="s">
        <v>274</v>
      </c>
      <c r="G2" s="81" t="s">
        <v>161</v>
      </c>
    </row>
    <row r="3" spans="1:12" ht="15" thickBot="1" x14ac:dyDescent="0.4">
      <c r="A3" s="82">
        <v>1</v>
      </c>
      <c r="B3" s="83" t="s">
        <v>348</v>
      </c>
      <c r="C3" s="83" t="s">
        <v>349</v>
      </c>
      <c r="D3" s="83">
        <v>8985</v>
      </c>
      <c r="E3" s="83">
        <v>95</v>
      </c>
      <c r="F3" s="83">
        <v>598</v>
      </c>
      <c r="G3" s="84">
        <f t="shared" ref="G3:G14" si="0">F3*E3</f>
        <v>56810</v>
      </c>
      <c r="I3" s="85" t="s">
        <v>350</v>
      </c>
      <c r="J3" s="86">
        <v>3227</v>
      </c>
    </row>
    <row r="4" spans="1:12" ht="15" thickBot="1" x14ac:dyDescent="0.4">
      <c r="A4" s="87">
        <v>2</v>
      </c>
      <c r="B4" s="88" t="s">
        <v>351</v>
      </c>
      <c r="C4" s="88" t="s">
        <v>352</v>
      </c>
      <c r="D4" s="88">
        <v>8067</v>
      </c>
      <c r="E4" s="88">
        <v>50</v>
      </c>
      <c r="F4" s="88">
        <v>582</v>
      </c>
      <c r="G4" s="89">
        <f t="shared" si="0"/>
        <v>29100</v>
      </c>
      <c r="I4" s="85" t="s">
        <v>54</v>
      </c>
      <c r="J4" s="86" t="str">
        <f>INDEX(B$3:B$14,MATCH(J3,D$3:D$14,0))</f>
        <v>Орск</v>
      </c>
      <c r="L4" s="66"/>
    </row>
    <row r="5" spans="1:12" ht="15" thickBot="1" x14ac:dyDescent="0.4">
      <c r="A5" s="82">
        <v>3</v>
      </c>
      <c r="B5" s="83" t="s">
        <v>353</v>
      </c>
      <c r="C5" s="83" t="s">
        <v>354</v>
      </c>
      <c r="D5" s="83">
        <v>4901</v>
      </c>
      <c r="E5" s="83">
        <v>36</v>
      </c>
      <c r="F5" s="83">
        <v>562</v>
      </c>
      <c r="G5" s="84">
        <f t="shared" si="0"/>
        <v>20232</v>
      </c>
      <c r="I5" s="85" t="s">
        <v>346</v>
      </c>
      <c r="J5" s="90" t="str">
        <f>INDEX(C$3:C$14, MATCH(J3, D$3:D$14, 0))</f>
        <v>Щеглов</v>
      </c>
      <c r="L5" s="66"/>
    </row>
    <row r="6" spans="1:12" x14ac:dyDescent="0.25">
      <c r="A6" s="87">
        <v>4</v>
      </c>
      <c r="B6" s="88" t="s">
        <v>355</v>
      </c>
      <c r="C6" s="88" t="s">
        <v>356</v>
      </c>
      <c r="D6" s="88">
        <v>9096</v>
      </c>
      <c r="E6" s="88">
        <v>27</v>
      </c>
      <c r="F6" s="88">
        <v>543</v>
      </c>
      <c r="G6" s="89">
        <f t="shared" si="0"/>
        <v>14661</v>
      </c>
    </row>
    <row r="7" spans="1:12" x14ac:dyDescent="0.25">
      <c r="A7" s="82">
        <v>5</v>
      </c>
      <c r="B7" s="83" t="s">
        <v>357</v>
      </c>
      <c r="C7" s="83" t="s">
        <v>358</v>
      </c>
      <c r="D7" s="83">
        <v>9604</v>
      </c>
      <c r="E7" s="83">
        <v>100</v>
      </c>
      <c r="F7" s="83">
        <v>687</v>
      </c>
      <c r="G7" s="84">
        <f t="shared" si="0"/>
        <v>68700</v>
      </c>
    </row>
    <row r="8" spans="1:12" x14ac:dyDescent="0.25">
      <c r="A8" s="87">
        <v>6</v>
      </c>
      <c r="B8" s="88" t="s">
        <v>359</v>
      </c>
      <c r="C8" s="88" t="s">
        <v>360</v>
      </c>
      <c r="D8" s="88">
        <v>4233</v>
      </c>
      <c r="E8" s="88">
        <v>60</v>
      </c>
      <c r="F8" s="88">
        <v>961</v>
      </c>
      <c r="G8" s="89">
        <f t="shared" si="0"/>
        <v>57660</v>
      </c>
    </row>
    <row r="9" spans="1:12" x14ac:dyDescent="0.25">
      <c r="A9" s="82">
        <v>7</v>
      </c>
      <c r="B9" s="83" t="s">
        <v>361</v>
      </c>
      <c r="C9" s="83" t="s">
        <v>362</v>
      </c>
      <c r="D9" s="83">
        <v>6576</v>
      </c>
      <c r="E9" s="83">
        <v>12</v>
      </c>
      <c r="F9" s="83">
        <v>614</v>
      </c>
      <c r="G9" s="84">
        <f t="shared" si="0"/>
        <v>7368</v>
      </c>
    </row>
    <row r="10" spans="1:12" x14ac:dyDescent="0.25">
      <c r="A10" s="87">
        <v>8</v>
      </c>
      <c r="B10" s="88" t="s">
        <v>363</v>
      </c>
      <c r="C10" s="88" t="s">
        <v>364</v>
      </c>
      <c r="D10" s="88">
        <v>8791</v>
      </c>
      <c r="E10" s="88">
        <v>90</v>
      </c>
      <c r="F10" s="88">
        <v>950</v>
      </c>
      <c r="G10" s="89">
        <f t="shared" si="0"/>
        <v>85500</v>
      </c>
    </row>
    <row r="11" spans="1:12" x14ac:dyDescent="0.25">
      <c r="A11" s="82">
        <v>9</v>
      </c>
      <c r="B11" s="83" t="s">
        <v>365</v>
      </c>
      <c r="C11" s="83" t="s">
        <v>366</v>
      </c>
      <c r="D11" s="83">
        <v>7605</v>
      </c>
      <c r="E11" s="83">
        <v>32</v>
      </c>
      <c r="F11" s="83">
        <v>896</v>
      </c>
      <c r="G11" s="84">
        <f t="shared" si="0"/>
        <v>28672</v>
      </c>
    </row>
    <row r="12" spans="1:12" x14ac:dyDescent="0.25">
      <c r="A12" s="87">
        <v>10</v>
      </c>
      <c r="B12" s="88" t="s">
        <v>367</v>
      </c>
      <c r="C12" s="88" t="s">
        <v>368</v>
      </c>
      <c r="D12" s="88">
        <v>3227</v>
      </c>
      <c r="E12" s="88">
        <v>60</v>
      </c>
      <c r="F12" s="88">
        <v>670</v>
      </c>
      <c r="G12" s="89">
        <f t="shared" si="0"/>
        <v>40200</v>
      </c>
    </row>
    <row r="13" spans="1:12" x14ac:dyDescent="0.25">
      <c r="A13" s="82">
        <v>11</v>
      </c>
      <c r="B13" s="83" t="s">
        <v>369</v>
      </c>
      <c r="C13" s="83" t="s">
        <v>370</v>
      </c>
      <c r="D13" s="83">
        <v>5854</v>
      </c>
      <c r="E13" s="83">
        <v>29</v>
      </c>
      <c r="F13" s="83">
        <v>603</v>
      </c>
      <c r="G13" s="84">
        <f t="shared" si="0"/>
        <v>17487</v>
      </c>
    </row>
    <row r="14" spans="1:12" x14ac:dyDescent="0.25">
      <c r="A14" s="87">
        <v>12</v>
      </c>
      <c r="B14" s="88" t="s">
        <v>371</v>
      </c>
      <c r="C14" s="88" t="s">
        <v>372</v>
      </c>
      <c r="D14" s="88">
        <v>6433</v>
      </c>
      <c r="E14" s="88">
        <v>35</v>
      </c>
      <c r="F14" s="88">
        <v>755</v>
      </c>
      <c r="G14" s="89">
        <f t="shared" si="0"/>
        <v>26425</v>
      </c>
    </row>
    <row r="18" spans="4:4" x14ac:dyDescent="0.25">
      <c r="D18" s="66"/>
    </row>
  </sheetData>
  <dataValidations count="1">
    <dataValidation type="list" allowBlank="1" showInputMessage="1" showErrorMessage="1" sqref="J3">
      <formula1>$D$3:$D$14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workbookViewId="0">
      <selection activeCell="H12" sqref="H12"/>
    </sheetView>
  </sheetViews>
  <sheetFormatPr defaultRowHeight="12.5" x14ac:dyDescent="0.25"/>
  <cols>
    <col min="1" max="1" width="7.90625" bestFit="1" customWidth="1"/>
    <col min="2" max="2" width="36.6328125" bestFit="1" customWidth="1"/>
    <col min="3" max="3" width="7.6328125" bestFit="1" customWidth="1"/>
    <col min="4" max="4" width="13.6328125" customWidth="1"/>
    <col min="5" max="5" width="23.453125" bestFit="1" customWidth="1"/>
    <col min="8" max="8" width="19.36328125" customWidth="1"/>
  </cols>
  <sheetData>
    <row r="1" spans="1:8" ht="13" x14ac:dyDescent="0.3">
      <c r="A1" s="96" t="s">
        <v>375</v>
      </c>
      <c r="B1" s="97" t="s">
        <v>484</v>
      </c>
    </row>
    <row r="2" spans="1:8" ht="14" x14ac:dyDescent="0.25">
      <c r="A2" s="67" t="s">
        <v>212</v>
      </c>
      <c r="B2" s="67" t="s">
        <v>213</v>
      </c>
      <c r="C2" s="67" t="s">
        <v>214</v>
      </c>
      <c r="D2" s="67" t="s">
        <v>215</v>
      </c>
      <c r="E2" s="68" t="s">
        <v>216</v>
      </c>
    </row>
    <row r="3" spans="1:8" ht="14" x14ac:dyDescent="0.3">
      <c r="A3" s="69">
        <v>1</v>
      </c>
      <c r="B3" s="69" t="s">
        <v>217</v>
      </c>
      <c r="C3" s="70" t="s">
        <v>218</v>
      </c>
      <c r="D3" s="69">
        <v>55000</v>
      </c>
      <c r="E3" s="71">
        <f>IFERROR(D3*VLOOKUP(C3,$G$4:$H$7,2,0),0)</f>
        <v>33000</v>
      </c>
      <c r="G3" s="67" t="s">
        <v>219</v>
      </c>
      <c r="H3" s="67" t="s">
        <v>220</v>
      </c>
    </row>
    <row r="4" spans="1:8" ht="14" x14ac:dyDescent="0.3">
      <c r="A4" s="69">
        <v>2</v>
      </c>
      <c r="B4" s="69" t="s">
        <v>221</v>
      </c>
      <c r="C4" s="70" t="s">
        <v>222</v>
      </c>
      <c r="D4" s="69">
        <v>42000</v>
      </c>
      <c r="E4" s="71">
        <f t="shared" ref="E4:E25" si="0">IFERROR(D4*VLOOKUP(C4,$G$4:$H$7,2,0),0)</f>
        <v>33600</v>
      </c>
      <c r="G4" s="69" t="s">
        <v>222</v>
      </c>
      <c r="H4" s="70">
        <v>0.8</v>
      </c>
    </row>
    <row r="5" spans="1:8" ht="14" x14ac:dyDescent="0.3">
      <c r="A5" s="69">
        <v>3</v>
      </c>
      <c r="B5" s="69" t="s">
        <v>223</v>
      </c>
      <c r="C5" s="70" t="s">
        <v>218</v>
      </c>
      <c r="D5" s="69">
        <v>45000</v>
      </c>
      <c r="E5" s="71">
        <f t="shared" si="0"/>
        <v>27000</v>
      </c>
      <c r="G5" s="69" t="s">
        <v>218</v>
      </c>
      <c r="H5" s="70">
        <v>0.6</v>
      </c>
    </row>
    <row r="6" spans="1:8" ht="14" x14ac:dyDescent="0.3">
      <c r="A6" s="69">
        <v>4</v>
      </c>
      <c r="B6" s="69" t="s">
        <v>224</v>
      </c>
      <c r="C6" s="70" t="s">
        <v>225</v>
      </c>
      <c r="D6" s="69">
        <v>65000</v>
      </c>
      <c r="E6" s="71">
        <f t="shared" si="0"/>
        <v>0</v>
      </c>
      <c r="G6" s="69" t="s">
        <v>226</v>
      </c>
      <c r="H6" s="70">
        <v>0.4</v>
      </c>
    </row>
    <row r="7" spans="1:8" ht="14" x14ac:dyDescent="0.3">
      <c r="A7" s="69">
        <v>5</v>
      </c>
      <c r="B7" s="69" t="s">
        <v>227</v>
      </c>
      <c r="C7" s="70" t="s">
        <v>228</v>
      </c>
      <c r="D7" s="69">
        <v>70000</v>
      </c>
      <c r="E7" s="71">
        <f t="shared" si="0"/>
        <v>35000</v>
      </c>
      <c r="G7" s="69" t="s">
        <v>228</v>
      </c>
      <c r="H7" s="70">
        <v>0.5</v>
      </c>
    </row>
    <row r="8" spans="1:8" ht="14" x14ac:dyDescent="0.3">
      <c r="A8" s="69">
        <v>6</v>
      </c>
      <c r="B8" s="69" t="s">
        <v>229</v>
      </c>
      <c r="C8" s="70" t="s">
        <v>226</v>
      </c>
      <c r="D8" s="69">
        <v>75000</v>
      </c>
      <c r="E8" s="71">
        <f t="shared" si="0"/>
        <v>30000</v>
      </c>
    </row>
    <row r="9" spans="1:8" ht="14" x14ac:dyDescent="0.3">
      <c r="A9" s="69">
        <v>7</v>
      </c>
      <c r="B9" s="69" t="s">
        <v>230</v>
      </c>
      <c r="C9" s="70" t="s">
        <v>222</v>
      </c>
      <c r="D9" s="69">
        <v>33000</v>
      </c>
      <c r="E9" s="71">
        <f t="shared" si="0"/>
        <v>26400</v>
      </c>
    </row>
    <row r="10" spans="1:8" ht="14" x14ac:dyDescent="0.3">
      <c r="A10" s="69">
        <v>8</v>
      </c>
      <c r="B10" s="69" t="s">
        <v>231</v>
      </c>
      <c r="C10" s="70" t="s">
        <v>226</v>
      </c>
      <c r="D10" s="69">
        <v>45000</v>
      </c>
      <c r="E10" s="71">
        <f t="shared" si="0"/>
        <v>18000</v>
      </c>
    </row>
    <row r="11" spans="1:8" ht="14" x14ac:dyDescent="0.3">
      <c r="A11" s="69">
        <v>9</v>
      </c>
      <c r="B11" s="69" t="s">
        <v>232</v>
      </c>
      <c r="C11" s="70" t="s">
        <v>233</v>
      </c>
      <c r="D11" s="69">
        <v>50000</v>
      </c>
      <c r="E11" s="71">
        <f t="shared" si="0"/>
        <v>0</v>
      </c>
    </row>
    <row r="12" spans="1:8" ht="14" x14ac:dyDescent="0.3">
      <c r="A12" s="69">
        <v>10</v>
      </c>
      <c r="B12" s="69" t="s">
        <v>234</v>
      </c>
      <c r="C12" s="70" t="s">
        <v>226</v>
      </c>
      <c r="D12" s="69">
        <v>60000</v>
      </c>
      <c r="E12" s="71">
        <f t="shared" si="0"/>
        <v>24000</v>
      </c>
    </row>
    <row r="13" spans="1:8" ht="14" x14ac:dyDescent="0.3">
      <c r="A13" s="69">
        <v>11</v>
      </c>
      <c r="B13" s="69" t="s">
        <v>235</v>
      </c>
      <c r="C13" s="70" t="s">
        <v>218</v>
      </c>
      <c r="D13" s="69">
        <v>48000</v>
      </c>
      <c r="E13" s="71">
        <f t="shared" si="0"/>
        <v>28800</v>
      </c>
    </row>
    <row r="14" spans="1:8" ht="14" x14ac:dyDescent="0.3">
      <c r="A14" s="69">
        <v>12</v>
      </c>
      <c r="B14" s="69" t="s">
        <v>236</v>
      </c>
      <c r="C14" s="70" t="s">
        <v>222</v>
      </c>
      <c r="D14" s="69">
        <v>35000</v>
      </c>
      <c r="E14" s="71">
        <f t="shared" si="0"/>
        <v>28000</v>
      </c>
    </row>
    <row r="15" spans="1:8" ht="14" x14ac:dyDescent="0.3">
      <c r="A15" s="69">
        <v>13</v>
      </c>
      <c r="B15" s="69" t="s">
        <v>237</v>
      </c>
      <c r="C15" s="70" t="s">
        <v>226</v>
      </c>
      <c r="D15" s="69">
        <v>40000</v>
      </c>
      <c r="E15" s="71">
        <f t="shared" si="0"/>
        <v>16000</v>
      </c>
    </row>
    <row r="16" spans="1:8" ht="14" x14ac:dyDescent="0.3">
      <c r="A16" s="69">
        <v>14</v>
      </c>
      <c r="B16" s="69" t="s">
        <v>238</v>
      </c>
      <c r="C16" s="70" t="s">
        <v>233</v>
      </c>
      <c r="D16" s="69">
        <v>55000</v>
      </c>
      <c r="E16" s="71">
        <f t="shared" si="0"/>
        <v>0</v>
      </c>
    </row>
    <row r="17" spans="1:5" ht="14" x14ac:dyDescent="0.3">
      <c r="A17" s="69">
        <v>15</v>
      </c>
      <c r="B17" s="69" t="s">
        <v>239</v>
      </c>
      <c r="C17" s="70" t="s">
        <v>218</v>
      </c>
      <c r="D17" s="69">
        <v>36000</v>
      </c>
      <c r="E17" s="71">
        <f t="shared" si="0"/>
        <v>21600</v>
      </c>
    </row>
    <row r="18" spans="1:5" ht="14" x14ac:dyDescent="0.3">
      <c r="A18" s="69">
        <v>16</v>
      </c>
      <c r="B18" s="69" t="s">
        <v>240</v>
      </c>
      <c r="C18" s="70" t="s">
        <v>228</v>
      </c>
      <c r="D18" s="69">
        <v>58000</v>
      </c>
      <c r="E18" s="71">
        <f t="shared" si="0"/>
        <v>29000</v>
      </c>
    </row>
    <row r="19" spans="1:5" ht="14" x14ac:dyDescent="0.3">
      <c r="A19" s="69">
        <v>17</v>
      </c>
      <c r="B19" s="69" t="s">
        <v>241</v>
      </c>
      <c r="C19" s="70" t="s">
        <v>218</v>
      </c>
      <c r="D19" s="69">
        <v>49000</v>
      </c>
      <c r="E19" s="71">
        <f t="shared" si="0"/>
        <v>29400</v>
      </c>
    </row>
    <row r="20" spans="1:5" ht="14" x14ac:dyDescent="0.3">
      <c r="A20" s="69">
        <v>18</v>
      </c>
      <c r="B20" s="69" t="s">
        <v>242</v>
      </c>
      <c r="C20" s="70" t="s">
        <v>218</v>
      </c>
      <c r="D20" s="69">
        <v>55000</v>
      </c>
      <c r="E20" s="71">
        <f t="shared" si="0"/>
        <v>33000</v>
      </c>
    </row>
    <row r="21" spans="1:5" ht="14" x14ac:dyDescent="0.3">
      <c r="A21" s="69">
        <v>19</v>
      </c>
      <c r="B21" s="69" t="s">
        <v>243</v>
      </c>
      <c r="C21" s="70" t="s">
        <v>228</v>
      </c>
      <c r="D21" s="69">
        <v>66000</v>
      </c>
      <c r="E21" s="71">
        <f t="shared" si="0"/>
        <v>33000</v>
      </c>
    </row>
    <row r="22" spans="1:5" ht="14" x14ac:dyDescent="0.3">
      <c r="A22" s="69">
        <v>20</v>
      </c>
      <c r="B22" s="69" t="s">
        <v>244</v>
      </c>
      <c r="C22" s="70" t="s">
        <v>226</v>
      </c>
      <c r="D22" s="69">
        <v>52000</v>
      </c>
      <c r="E22" s="71">
        <f t="shared" si="0"/>
        <v>20800</v>
      </c>
    </row>
    <row r="23" spans="1:5" ht="14" x14ac:dyDescent="0.3">
      <c r="A23" s="69">
        <v>21</v>
      </c>
      <c r="B23" s="69" t="s">
        <v>245</v>
      </c>
      <c r="C23" s="70" t="s">
        <v>226</v>
      </c>
      <c r="D23" s="69">
        <v>44000</v>
      </c>
      <c r="E23" s="71">
        <f t="shared" si="0"/>
        <v>17600</v>
      </c>
    </row>
    <row r="24" spans="1:5" ht="14" x14ac:dyDescent="0.3">
      <c r="A24" s="69">
        <v>22</v>
      </c>
      <c r="B24" s="69" t="s">
        <v>246</v>
      </c>
      <c r="C24" s="70" t="s">
        <v>218</v>
      </c>
      <c r="D24" s="69">
        <v>30000</v>
      </c>
      <c r="E24" s="71">
        <f t="shared" si="0"/>
        <v>18000</v>
      </c>
    </row>
    <row r="25" spans="1:5" ht="14" x14ac:dyDescent="0.3">
      <c r="A25" s="69">
        <v>23</v>
      </c>
      <c r="B25" s="69" t="s">
        <v>247</v>
      </c>
      <c r="C25" s="70" t="s">
        <v>218</v>
      </c>
      <c r="D25" s="69">
        <v>54000</v>
      </c>
      <c r="E25" s="71">
        <f t="shared" si="0"/>
        <v>32400</v>
      </c>
    </row>
    <row r="26" spans="1:5" x14ac:dyDescent="0.25">
      <c r="A26" s="72"/>
    </row>
  </sheetData>
  <pageMargins left="0.75" right="0.75" top="1" bottom="1" header="0.5" footer="0.5"/>
  <pageSetup paperSize="9" orientation="landscape" horizontalDpi="180" verticalDpi="18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B2"/>
  <sheetViews>
    <sheetView tabSelected="1" topLeftCell="M28" workbookViewId="0">
      <selection activeCell="E34" sqref="E34"/>
    </sheetView>
  </sheetViews>
  <sheetFormatPr defaultColWidth="9.08984375" defaultRowHeight="12" x14ac:dyDescent="0.3"/>
  <cols>
    <col min="1" max="11" width="9.08984375" style="95"/>
    <col min="12" max="443" width="10.08984375" style="95" bestFit="1" customWidth="1"/>
    <col min="444" max="444" width="11.6328125" style="95" bestFit="1" customWidth="1"/>
    <col min="445" max="16384" width="9.08984375" style="95"/>
  </cols>
  <sheetData>
    <row r="1" spans="1:444" x14ac:dyDescent="0.3">
      <c r="A1" s="96" t="s">
        <v>375</v>
      </c>
      <c r="B1" s="97" t="s">
        <v>485</v>
      </c>
    </row>
    <row r="2" spans="1:444" s="166" customFormat="1" x14ac:dyDescent="0.3"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  <c r="IW2" s="95"/>
      <c r="IX2" s="95"/>
      <c r="IY2" s="95"/>
      <c r="IZ2" s="95"/>
      <c r="JA2" s="95"/>
      <c r="JB2" s="95"/>
      <c r="JC2" s="95"/>
      <c r="JD2" s="95"/>
      <c r="JE2" s="95"/>
      <c r="JF2" s="95"/>
      <c r="JG2" s="95"/>
      <c r="JH2" s="95"/>
      <c r="JI2" s="95"/>
      <c r="JJ2" s="95"/>
      <c r="JK2" s="95"/>
      <c r="JL2" s="95"/>
      <c r="JM2" s="95"/>
      <c r="JN2" s="95"/>
      <c r="JO2" s="95"/>
      <c r="JP2" s="95"/>
      <c r="JQ2" s="95"/>
      <c r="JR2" s="95"/>
      <c r="JS2" s="95"/>
      <c r="JT2" s="95"/>
      <c r="JU2" s="95"/>
      <c r="JV2" s="95"/>
      <c r="JW2" s="95"/>
      <c r="JX2" s="95"/>
      <c r="JY2" s="95"/>
      <c r="JZ2" s="95"/>
      <c r="KA2" s="95"/>
      <c r="KB2" s="95"/>
      <c r="KC2" s="95"/>
      <c r="KD2" s="95"/>
      <c r="KE2" s="95"/>
      <c r="KF2" s="95"/>
      <c r="KG2" s="95"/>
      <c r="KH2" s="95"/>
      <c r="KI2" s="95"/>
      <c r="KJ2" s="95"/>
      <c r="KK2" s="95"/>
      <c r="KL2" s="95"/>
      <c r="KM2" s="95"/>
      <c r="KN2" s="95"/>
      <c r="KO2" s="95"/>
      <c r="KP2" s="95"/>
      <c r="KQ2" s="95"/>
      <c r="KR2" s="95"/>
      <c r="KS2" s="95"/>
      <c r="KT2" s="95"/>
      <c r="KU2" s="95"/>
      <c r="KV2" s="95"/>
      <c r="KW2" s="95"/>
      <c r="KX2" s="95"/>
      <c r="KY2" s="95"/>
      <c r="KZ2" s="95"/>
      <c r="LA2" s="95"/>
      <c r="LB2" s="95"/>
      <c r="LC2" s="95"/>
      <c r="LD2" s="95"/>
      <c r="LE2" s="95"/>
      <c r="LF2" s="95"/>
      <c r="LG2" s="95"/>
      <c r="LH2" s="95"/>
      <c r="LI2" s="95"/>
      <c r="LJ2" s="95"/>
      <c r="LK2" s="95"/>
      <c r="LL2" s="95"/>
      <c r="LM2" s="95"/>
      <c r="LN2" s="95"/>
      <c r="LO2" s="95"/>
      <c r="LP2" s="95"/>
      <c r="LQ2" s="95"/>
      <c r="LR2" s="95"/>
      <c r="LS2" s="95"/>
      <c r="LT2" s="95"/>
      <c r="LU2" s="95"/>
      <c r="LV2" s="95"/>
      <c r="LW2" s="95"/>
      <c r="LX2" s="95"/>
      <c r="LY2" s="95"/>
      <c r="LZ2" s="95"/>
      <c r="MA2" s="95"/>
      <c r="MB2" s="95"/>
      <c r="MC2" s="95"/>
      <c r="MD2" s="95"/>
      <c r="ME2" s="95"/>
      <c r="MF2" s="95"/>
      <c r="MG2" s="95"/>
      <c r="MH2" s="95"/>
      <c r="MI2" s="95"/>
      <c r="MJ2" s="95"/>
      <c r="MK2" s="95"/>
      <c r="ML2" s="95"/>
      <c r="MM2" s="95"/>
      <c r="MN2" s="95"/>
      <c r="MO2" s="95"/>
      <c r="MP2" s="95"/>
      <c r="MQ2" s="95"/>
      <c r="MR2" s="95"/>
      <c r="MS2" s="95"/>
      <c r="MT2" s="95"/>
      <c r="MU2" s="95"/>
      <c r="MV2" s="95"/>
      <c r="MW2" s="95"/>
      <c r="MX2" s="95"/>
      <c r="MY2" s="95"/>
      <c r="MZ2" s="95"/>
      <c r="NA2" s="95"/>
      <c r="NB2" s="95"/>
      <c r="NC2" s="95"/>
      <c r="ND2" s="95"/>
      <c r="NE2" s="95"/>
      <c r="NF2" s="95"/>
      <c r="NG2" s="95"/>
      <c r="NH2" s="95"/>
      <c r="NI2" s="95"/>
      <c r="NJ2" s="95"/>
      <c r="NK2" s="95"/>
      <c r="NL2" s="95"/>
      <c r="NM2" s="95"/>
      <c r="NN2" s="95"/>
      <c r="NO2" s="95"/>
      <c r="NP2" s="95"/>
      <c r="NQ2" s="95"/>
      <c r="NR2" s="95"/>
      <c r="NS2" s="95"/>
      <c r="NT2" s="95"/>
      <c r="NU2" s="95"/>
      <c r="NV2" s="95"/>
      <c r="NW2" s="95"/>
      <c r="NX2" s="95"/>
      <c r="NY2" s="95"/>
      <c r="NZ2" s="95"/>
      <c r="OA2" s="95"/>
      <c r="OB2" s="95"/>
      <c r="OC2" s="95"/>
      <c r="OD2" s="95"/>
      <c r="OE2" s="95"/>
      <c r="OF2" s="95"/>
      <c r="OG2" s="95"/>
      <c r="OH2" s="95"/>
      <c r="OI2" s="95"/>
      <c r="OJ2" s="95"/>
      <c r="OK2" s="95"/>
      <c r="OL2" s="95"/>
      <c r="OM2" s="95"/>
      <c r="ON2" s="95"/>
      <c r="OO2" s="95"/>
      <c r="OP2" s="95"/>
      <c r="OQ2" s="95"/>
      <c r="OR2" s="95"/>
      <c r="OS2" s="95"/>
      <c r="OT2" s="95"/>
      <c r="OU2" s="95"/>
      <c r="OV2" s="95"/>
      <c r="OW2" s="95"/>
      <c r="OX2" s="95"/>
      <c r="OY2" s="95"/>
      <c r="OZ2" s="95"/>
      <c r="PA2" s="95"/>
      <c r="PB2" s="95"/>
      <c r="PC2" s="95"/>
      <c r="PD2" s="95"/>
      <c r="PE2" s="95"/>
      <c r="PF2" s="95"/>
      <c r="PG2" s="95"/>
      <c r="PH2" s="95"/>
      <c r="PI2" s="95"/>
      <c r="PJ2" s="95"/>
      <c r="PK2" s="95"/>
      <c r="PL2" s="95"/>
      <c r="PM2" s="95"/>
      <c r="PN2" s="95"/>
      <c r="PO2" s="95"/>
      <c r="PP2" s="95"/>
      <c r="PQ2" s="95"/>
      <c r="PR2" s="95"/>
      <c r="PS2" s="95"/>
      <c r="PT2" s="95"/>
      <c r="PU2" s="95"/>
      <c r="PV2" s="95"/>
      <c r="PW2" s="95"/>
      <c r="PX2" s="95"/>
      <c r="PY2" s="95"/>
      <c r="PZ2" s="95"/>
      <c r="QA2" s="95"/>
      <c r="QB2" s="95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"/>
  <sheetViews>
    <sheetView topLeftCell="C1" zoomScale="115" zoomScaleNormal="115" workbookViewId="0">
      <selection activeCell="C12" sqref="C12"/>
    </sheetView>
  </sheetViews>
  <sheetFormatPr defaultRowHeight="12.5" x14ac:dyDescent="0.25"/>
  <sheetData>
    <row r="2" spans="2:2" x14ac:dyDescent="0.25"/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zoomScale="130" zoomScaleNormal="130" workbookViewId="0">
      <selection activeCell="E18" sqref="E18"/>
    </sheetView>
  </sheetViews>
  <sheetFormatPr defaultRowHeight="12.5" x14ac:dyDescent="0.25"/>
  <cols>
    <col min="1" max="1" width="9.08984375" customWidth="1"/>
    <col min="2" max="2" width="4.08984375" customWidth="1"/>
    <col min="3" max="4" width="4.453125" customWidth="1"/>
  </cols>
  <sheetData>
    <row r="1" spans="1:4" ht="13" x14ac:dyDescent="0.3">
      <c r="A1" s="96" t="s">
        <v>495</v>
      </c>
      <c r="B1" s="96"/>
    </row>
    <row r="2" spans="1:4" ht="13" thickBot="1" x14ac:dyDescent="0.3"/>
    <row r="3" spans="1:4" ht="13.5" thickBot="1" x14ac:dyDescent="0.35">
      <c r="A3" s="96"/>
      <c r="B3" s="171"/>
      <c r="C3" s="171"/>
      <c r="D3" s="171"/>
    </row>
    <row r="4" spans="1:4" ht="13" thickBot="1" x14ac:dyDescent="0.3">
      <c r="B4" s="171"/>
      <c r="C4" s="171"/>
      <c r="D4" s="171"/>
    </row>
    <row r="5" spans="1:4" ht="13" thickBot="1" x14ac:dyDescent="0.3">
      <c r="B5" s="171"/>
      <c r="C5" s="171"/>
      <c r="D5" s="171"/>
    </row>
    <row r="9" spans="1:4" ht="13" x14ac:dyDescent="0.3">
      <c r="A9" s="96" t="s">
        <v>496</v>
      </c>
      <c r="B9" s="96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"/>
  <sheetViews>
    <sheetView workbookViewId="0">
      <selection activeCell="F31" sqref="F31"/>
    </sheetView>
  </sheetViews>
  <sheetFormatPr defaultRowHeight="12.5" x14ac:dyDescent="0.25"/>
  <sheetData>
    <row r="2" spans="2:2" x14ac:dyDescent="0.25"/>
  </sheetData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C5" sqref="C5"/>
    </sheetView>
  </sheetViews>
  <sheetFormatPr defaultColWidth="9.08984375" defaultRowHeight="14" x14ac:dyDescent="0.3"/>
  <cols>
    <col min="1" max="1" width="3.54296875" style="46" customWidth="1"/>
    <col min="2" max="2" width="9.08984375" style="46" customWidth="1"/>
    <col min="3" max="3" width="10.54296875" style="46" customWidth="1"/>
    <col min="4" max="4" width="10.54296875" style="45" customWidth="1"/>
    <col min="5" max="5" width="9.6328125" style="46" customWidth="1"/>
    <col min="6" max="6" width="13.6328125" style="46" bestFit="1" customWidth="1"/>
    <col min="7" max="8" width="11.08984375" style="46" bestFit="1" customWidth="1"/>
    <col min="9" max="9" width="9.453125" style="46" customWidth="1"/>
    <col min="10" max="10" width="11.453125" style="46" bestFit="1" customWidth="1"/>
    <col min="11" max="11" width="11.08984375" style="46" customWidth="1"/>
    <col min="12" max="16384" width="9.08984375" style="46"/>
  </cols>
  <sheetData>
    <row r="1" spans="2:10" s="40" customFormat="1" ht="24.75" customHeight="1" x14ac:dyDescent="0.25">
      <c r="B1" s="39" t="s">
        <v>112</v>
      </c>
      <c r="D1" s="41"/>
      <c r="F1" s="39" t="s">
        <v>113</v>
      </c>
      <c r="G1" s="42"/>
      <c r="H1" s="42"/>
      <c r="I1" s="42"/>
      <c r="J1" s="42"/>
    </row>
    <row r="2" spans="2:10" x14ac:dyDescent="0.3">
      <c r="B2" s="43" t="s">
        <v>114</v>
      </c>
      <c r="C2" s="44">
        <v>121</v>
      </c>
      <c r="D2" s="50"/>
      <c r="F2" s="47" t="s">
        <v>54</v>
      </c>
      <c r="G2" s="47" t="s">
        <v>115</v>
      </c>
      <c r="H2" s="47" t="s">
        <v>116</v>
      </c>
      <c r="I2" s="47" t="s">
        <v>117</v>
      </c>
      <c r="J2" s="47" t="s">
        <v>118</v>
      </c>
    </row>
    <row r="3" spans="2:10" x14ac:dyDescent="0.3">
      <c r="B3" s="43" t="s">
        <v>119</v>
      </c>
      <c r="C3" s="44">
        <v>195</v>
      </c>
      <c r="D3" s="50"/>
      <c r="F3" s="44" t="s">
        <v>120</v>
      </c>
      <c r="G3" s="44">
        <v>1034</v>
      </c>
      <c r="H3" s="48">
        <v>1529</v>
      </c>
      <c r="I3" s="48">
        <v>1221</v>
      </c>
      <c r="J3" s="48">
        <v>2804</v>
      </c>
    </row>
    <row r="4" spans="2:10" x14ac:dyDescent="0.3">
      <c r="B4" s="43" t="s">
        <v>121</v>
      </c>
      <c r="C4" s="44">
        <v>461</v>
      </c>
      <c r="D4" s="50"/>
      <c r="F4" s="44" t="s">
        <v>122</v>
      </c>
      <c r="G4" s="44">
        <v>912</v>
      </c>
      <c r="H4" s="48">
        <v>923</v>
      </c>
      <c r="I4" s="48">
        <v>703</v>
      </c>
      <c r="J4" s="48">
        <v>798</v>
      </c>
    </row>
    <row r="5" spans="2:10" x14ac:dyDescent="0.3">
      <c r="B5" s="43" t="s">
        <v>123</v>
      </c>
      <c r="C5" s="44">
        <v>367</v>
      </c>
      <c r="D5" s="50"/>
      <c r="F5" s="44" t="s">
        <v>124</v>
      </c>
      <c r="G5" s="44">
        <v>2222</v>
      </c>
      <c r="H5" s="48">
        <v>1881</v>
      </c>
      <c r="I5" s="48">
        <v>1441</v>
      </c>
      <c r="J5" s="48">
        <v>1112</v>
      </c>
    </row>
    <row r="6" spans="2:10" x14ac:dyDescent="0.3">
      <c r="B6" s="43" t="s">
        <v>125</v>
      </c>
      <c r="C6" s="44">
        <v>159</v>
      </c>
      <c r="D6" s="50"/>
      <c r="F6" s="44" t="s">
        <v>126</v>
      </c>
      <c r="G6" s="44">
        <v>1606</v>
      </c>
      <c r="H6" s="48">
        <v>809</v>
      </c>
      <c r="I6" s="48">
        <v>911</v>
      </c>
      <c r="J6" s="48">
        <v>999</v>
      </c>
    </row>
    <row r="7" spans="2:10" x14ac:dyDescent="0.3">
      <c r="B7" s="43" t="s">
        <v>127</v>
      </c>
      <c r="C7" s="44">
        <v>97</v>
      </c>
      <c r="D7" s="50"/>
      <c r="F7" s="44" t="s">
        <v>128</v>
      </c>
      <c r="G7" s="44">
        <v>905</v>
      </c>
      <c r="H7" s="48">
        <v>823</v>
      </c>
      <c r="I7" s="48">
        <v>613</v>
      </c>
      <c r="J7" s="48">
        <v>555</v>
      </c>
    </row>
    <row r="8" spans="2:10" x14ac:dyDescent="0.3">
      <c r="B8" s="43" t="s">
        <v>129</v>
      </c>
      <c r="C8" s="44">
        <v>199</v>
      </c>
      <c r="D8" s="50"/>
    </row>
    <row r="9" spans="2:10" x14ac:dyDescent="0.3">
      <c r="B9" s="43" t="s">
        <v>130</v>
      </c>
      <c r="C9" s="44">
        <v>253</v>
      </c>
      <c r="D9" s="50"/>
    </row>
    <row r="10" spans="2:10" x14ac:dyDescent="0.3">
      <c r="B10" s="43" t="s">
        <v>131</v>
      </c>
      <c r="C10" s="44">
        <v>402</v>
      </c>
      <c r="D10" s="50"/>
    </row>
    <row r="11" spans="2:10" x14ac:dyDescent="0.3">
      <c r="B11" s="43" t="s">
        <v>132</v>
      </c>
      <c r="C11" s="44">
        <v>306</v>
      </c>
      <c r="D11" s="50"/>
    </row>
    <row r="12" spans="2:10" x14ac:dyDescent="0.3">
      <c r="B12" s="43" t="s">
        <v>133</v>
      </c>
      <c r="C12" s="44">
        <v>249</v>
      </c>
      <c r="D12" s="50"/>
    </row>
    <row r="13" spans="2:10" x14ac:dyDescent="0.3">
      <c r="B13" s="43" t="s">
        <v>134</v>
      </c>
      <c r="C13" s="44">
        <v>161</v>
      </c>
      <c r="D13" s="50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L5" sqref="L5"/>
    </sheetView>
  </sheetViews>
  <sheetFormatPr defaultColWidth="9.08984375" defaultRowHeight="14.5" x14ac:dyDescent="0.35"/>
  <cols>
    <col min="1" max="1" width="9.08984375" style="4"/>
    <col min="2" max="10" width="10.08984375" style="4" customWidth="1"/>
    <col min="11" max="11" width="42.08984375" style="4" customWidth="1"/>
    <col min="12" max="16384" width="9.08984375" style="4"/>
  </cols>
  <sheetData>
    <row r="1" spans="1:11" ht="19.5" x14ac:dyDescent="0.45">
      <c r="A1" s="183" t="s">
        <v>178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3" spans="1:11" x14ac:dyDescent="0.35">
      <c r="A3" s="51" t="s">
        <v>179</v>
      </c>
      <c r="B3" s="52" t="s">
        <v>180</v>
      </c>
      <c r="C3" s="52" t="s">
        <v>181</v>
      </c>
      <c r="D3" s="52" t="s">
        <v>182</v>
      </c>
      <c r="E3" s="52" t="s">
        <v>183</v>
      </c>
      <c r="F3" s="52" t="s">
        <v>184</v>
      </c>
      <c r="G3" s="52" t="s">
        <v>185</v>
      </c>
      <c r="H3" s="52" t="s">
        <v>186</v>
      </c>
      <c r="I3" s="52" t="s">
        <v>187</v>
      </c>
      <c r="J3" s="53" t="s">
        <v>188</v>
      </c>
      <c r="K3" s="53"/>
    </row>
    <row r="4" spans="1:11" ht="56.25" customHeight="1" x14ac:dyDescent="0.35">
      <c r="A4" s="54" t="s">
        <v>189</v>
      </c>
      <c r="B4" s="55">
        <v>10.733000000000001</v>
      </c>
      <c r="C4" s="55">
        <v>10.6663</v>
      </c>
      <c r="D4" s="55">
        <v>10.5656</v>
      </c>
      <c r="E4" s="55">
        <v>12.037699999999999</v>
      </c>
      <c r="F4" s="55">
        <v>13.136200000000001</v>
      </c>
      <c r="G4" s="55">
        <v>12.6616</v>
      </c>
      <c r="H4" s="55">
        <v>12.7727</v>
      </c>
      <c r="I4" s="55">
        <v>12.432499999999999</v>
      </c>
      <c r="J4" s="56">
        <v>11.5017</v>
      </c>
      <c r="K4" s="56"/>
    </row>
    <row r="5" spans="1:11" ht="56.25" customHeight="1" x14ac:dyDescent="0.35">
      <c r="A5" s="54" t="s">
        <v>190</v>
      </c>
      <c r="B5" s="55">
        <v>4.66256</v>
      </c>
      <c r="C5" s="55">
        <v>4.9565399999999995</v>
      </c>
      <c r="D5" s="55">
        <v>4.9943399999999993</v>
      </c>
      <c r="E5" s="55">
        <v>3.8557000000000001</v>
      </c>
      <c r="F5" s="55">
        <v>4.2252700000000001</v>
      </c>
      <c r="G5" s="55">
        <v>4.0742700000000003</v>
      </c>
      <c r="H5" s="55">
        <v>3.56332</v>
      </c>
      <c r="I5" s="55">
        <v>3.7617199999999995</v>
      </c>
      <c r="J5" s="56">
        <v>3.7056800000000001</v>
      </c>
      <c r="K5" s="56"/>
    </row>
    <row r="6" spans="1:11" ht="56.25" customHeight="1" x14ac:dyDescent="0.35">
      <c r="A6" s="54" t="s">
        <v>191</v>
      </c>
      <c r="B6" s="55">
        <v>0.23569800000000002</v>
      </c>
      <c r="C6" s="55">
        <v>0.21959700000000001</v>
      </c>
      <c r="D6" s="55">
        <v>0.23718900000000001</v>
      </c>
      <c r="E6" s="55">
        <v>0.32577899999999999</v>
      </c>
      <c r="F6" s="55">
        <v>0.353551</v>
      </c>
      <c r="G6" s="55">
        <v>0.32775100000000001</v>
      </c>
      <c r="H6" s="55">
        <v>0.32329799999999997</v>
      </c>
      <c r="I6" s="55">
        <v>0.32826</v>
      </c>
      <c r="J6" s="56">
        <v>0.31695000000000001</v>
      </c>
      <c r="K6" s="56"/>
    </row>
    <row r="7" spans="1:11" ht="56.25" customHeight="1" x14ac:dyDescent="0.35">
      <c r="A7" s="54" t="s">
        <v>192</v>
      </c>
      <c r="B7" s="55">
        <v>37.067599999999999</v>
      </c>
      <c r="C7" s="55">
        <v>36.907699999999998</v>
      </c>
      <c r="D7" s="55">
        <v>36.369999999999997</v>
      </c>
      <c r="E7" s="55">
        <v>41.441099999999999</v>
      </c>
      <c r="F7" s="55">
        <v>44.941899999999997</v>
      </c>
      <c r="G7" s="55">
        <v>43.819099999999999</v>
      </c>
      <c r="H7" s="55">
        <v>43.218000000000004</v>
      </c>
      <c r="I7" s="55">
        <v>43.388300000000001</v>
      </c>
      <c r="J7" s="56">
        <v>39.702800000000003</v>
      </c>
      <c r="K7" s="56"/>
    </row>
    <row r="8" spans="1:11" ht="56.25" customHeight="1" x14ac:dyDescent="0.35">
      <c r="A8" s="54" t="s">
        <v>193</v>
      </c>
      <c r="B8" s="55">
        <v>23.515599999999999</v>
      </c>
      <c r="C8" s="55">
        <v>23.4573</v>
      </c>
      <c r="D8" s="55">
        <v>25.246400000000001</v>
      </c>
      <c r="E8" s="55">
        <v>29.380400000000002</v>
      </c>
      <c r="F8" s="55">
        <v>34.013399999999997</v>
      </c>
      <c r="G8" s="55">
        <v>31.290400000000002</v>
      </c>
      <c r="H8" s="55">
        <v>29.344100000000001</v>
      </c>
      <c r="I8" s="55">
        <v>30.244199999999999</v>
      </c>
      <c r="J8" s="56">
        <v>29.363800000000001</v>
      </c>
      <c r="K8" s="56"/>
    </row>
  </sheetData>
  <mergeCells count="1">
    <mergeCell ref="A1:K1"/>
  </mergeCells>
  <pageMargins left="0.7" right="0.7" top="0.75" bottom="0.75" header="0.3" footer="0.3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I3" sqref="I3"/>
    </sheetView>
  </sheetViews>
  <sheetFormatPr defaultColWidth="9.08984375" defaultRowHeight="14.5" x14ac:dyDescent="0.35"/>
  <cols>
    <col min="1" max="1" width="18.6328125" style="4" customWidth="1"/>
    <col min="2" max="2" width="10.453125" style="4" customWidth="1"/>
    <col min="3" max="3" width="10.54296875" style="4" customWidth="1"/>
    <col min="4" max="4" width="9.36328125" style="4" bestFit="1" customWidth="1"/>
    <col min="5" max="5" width="11.90625" style="4" customWidth="1"/>
    <col min="6" max="6" width="12.453125" style="4" customWidth="1"/>
    <col min="7" max="16384" width="9.08984375" style="4"/>
  </cols>
  <sheetData>
    <row r="1" spans="1:6" x14ac:dyDescent="0.35">
      <c r="A1" s="49" t="s">
        <v>135</v>
      </c>
      <c r="B1" s="49" t="s">
        <v>136</v>
      </c>
      <c r="C1" s="49" t="s">
        <v>137</v>
      </c>
      <c r="D1" s="49" t="s">
        <v>57</v>
      </c>
      <c r="E1" s="49" t="s">
        <v>138</v>
      </c>
      <c r="F1" s="49" t="s">
        <v>139</v>
      </c>
    </row>
    <row r="2" spans="1:6" x14ac:dyDescent="0.35">
      <c r="A2" s="49" t="s">
        <v>140</v>
      </c>
      <c r="B2" s="49">
        <v>3</v>
      </c>
      <c r="C2" s="49">
        <v>3</v>
      </c>
      <c r="D2" s="49">
        <v>9</v>
      </c>
      <c r="E2" s="49">
        <v>7</v>
      </c>
      <c r="F2" s="49">
        <f>AVERAGE(B2:E2)</f>
        <v>5.5</v>
      </c>
    </row>
    <row r="3" spans="1:6" x14ac:dyDescent="0.35">
      <c r="A3" s="49" t="s">
        <v>141</v>
      </c>
      <c r="B3" s="49">
        <v>9</v>
      </c>
      <c r="C3" s="49">
        <v>4</v>
      </c>
      <c r="D3" s="49">
        <v>3</v>
      </c>
      <c r="E3" s="49">
        <v>8</v>
      </c>
      <c r="F3" s="49">
        <f>AVERAGE(B3:E3)</f>
        <v>6</v>
      </c>
    </row>
    <row r="4" spans="1:6" x14ac:dyDescent="0.35">
      <c r="A4" s="49" t="s">
        <v>142</v>
      </c>
      <c r="B4" s="49">
        <v>8</v>
      </c>
      <c r="C4" s="49">
        <v>6</v>
      </c>
      <c r="D4" s="49">
        <v>10</v>
      </c>
      <c r="E4" s="49">
        <v>6</v>
      </c>
      <c r="F4" s="49">
        <f>AVERAGE(B4:E4)</f>
        <v>7.5</v>
      </c>
    </row>
    <row r="5" spans="1:6" x14ac:dyDescent="0.35">
      <c r="A5" s="49" t="s">
        <v>143</v>
      </c>
      <c r="B5" s="49">
        <v>2</v>
      </c>
      <c r="C5" s="49">
        <v>10</v>
      </c>
      <c r="D5" s="49">
        <v>8</v>
      </c>
      <c r="E5" s="49">
        <v>5</v>
      </c>
      <c r="F5" s="49">
        <f>AVERAGE(B5:E5)</f>
        <v>6.25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1</vt:i4>
      </vt:variant>
    </vt:vector>
  </HeadingPairs>
  <TitlesOfParts>
    <vt:vector size="25" baseType="lpstr">
      <vt:lpstr>Данные </vt:lpstr>
      <vt:lpstr>Ссылки</vt:lpstr>
      <vt:lpstr>Курсы валют</vt:lpstr>
      <vt:lpstr>Смешаные ссылки</vt:lpstr>
      <vt:lpstr>Экспресс анализ</vt:lpstr>
      <vt:lpstr>Задание 1</vt:lpstr>
      <vt:lpstr>Задание 2</vt:lpstr>
      <vt:lpstr>Задание 3</vt:lpstr>
      <vt:lpstr>Задание 4</vt:lpstr>
      <vt:lpstr>Дата</vt:lpstr>
      <vt:lpstr>Задание 5</vt:lpstr>
      <vt:lpstr>Задание 6</vt:lpstr>
      <vt:lpstr>Задание 7</vt:lpstr>
      <vt:lpstr>Если 2</vt:lpstr>
      <vt:lpstr>Задание 8</vt:lpstr>
      <vt:lpstr>Задание 10</vt:lpstr>
      <vt:lpstr>Задание 11</vt:lpstr>
      <vt:lpstr>Задание 12</vt:lpstr>
      <vt:lpstr>Задание 13</vt:lpstr>
      <vt:lpstr>Задание 14</vt:lpstr>
      <vt:lpstr>Задание 15</vt:lpstr>
      <vt:lpstr>Анализ</vt:lpstr>
      <vt:lpstr>Инфокривые</vt:lpstr>
      <vt:lpstr>Смешанная диаграмма</vt:lpstr>
      <vt:lpstr>'Задание 4'!Извлечь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Мария</cp:lastModifiedBy>
  <cp:lastPrinted>2026-03-20T20:23:15Z</cp:lastPrinted>
  <dcterms:created xsi:type="dcterms:W3CDTF">2015-10-06T17:34:12Z</dcterms:created>
  <dcterms:modified xsi:type="dcterms:W3CDTF">2026-03-21T14:20:25Z</dcterms:modified>
</cp:coreProperties>
</file>